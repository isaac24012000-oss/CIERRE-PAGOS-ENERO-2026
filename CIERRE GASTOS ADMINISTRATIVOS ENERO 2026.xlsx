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AGOS ENERO 2026\CIERRE-PAGOS-ENERO-2026\CIERRE-PAGOS-ENERO-2026\"/>
    </mc:Choice>
  </mc:AlternateContent>
  <xr:revisionPtr revIDLastSave="0" documentId="13_ncr:1_{88066B7F-E858-48A6-BE01-0B24096801F2}" xr6:coauthVersionLast="47" xr6:coauthVersionMax="47" xr10:uidLastSave="{00000000-0000-0000-0000-000000000000}"/>
  <bookViews>
    <workbookView xWindow="-120" yWindow="-120" windowWidth="29040" windowHeight="15720" xr2:uid="{6D111AC9-F4B5-4EE1-9519-BE4E4E92E24D}"/>
  </bookViews>
  <sheets>
    <sheet name="Hoja1" sheetId="1" r:id="rId1"/>
  </sheets>
  <definedNames>
    <definedName name="_xlnm._FilterDatabase" localSheetId="0" hidden="1">Hoja1!$A$1:$Q$173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71" i="1" l="1"/>
  <c r="K171" i="1" s="1"/>
  <c r="J170" i="1"/>
  <c r="K170" i="1" s="1"/>
  <c r="J169" i="1"/>
  <c r="K169" i="1" s="1"/>
  <c r="J94" i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J111" i="1"/>
  <c r="J112" i="1"/>
  <c r="J113" i="1"/>
  <c r="J114" i="1"/>
  <c r="K114" i="1" s="1"/>
  <c r="J115" i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K94" i="1"/>
  <c r="K110" i="1"/>
  <c r="K111" i="1"/>
  <c r="K112" i="1"/>
  <c r="K113" i="1"/>
  <c r="K115" i="1"/>
  <c r="J2" i="1"/>
  <c r="K2" i="1" s="1"/>
  <c r="J3" i="1"/>
  <c r="K3" i="1" s="1"/>
  <c r="J4" i="1"/>
  <c r="K4" i="1" s="1"/>
  <c r="J5" i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72" i="1"/>
  <c r="K172" i="1" s="1"/>
  <c r="J173" i="1"/>
  <c r="K173" i="1" s="1"/>
  <c r="L174" i="1"/>
  <c r="J174" i="1" l="1"/>
  <c r="K13" i="1"/>
  <c r="K5" i="1"/>
  <c r="K174" i="1" l="1"/>
</calcChain>
</file>

<file path=xl/sharedStrings.xml><?xml version="1.0" encoding="utf-8"?>
<sst xmlns="http://schemas.openxmlformats.org/spreadsheetml/2006/main" count="1385" uniqueCount="515">
  <si>
    <t>ID_OBLIGACION</t>
  </si>
  <si>
    <t>ASESOR</t>
  </si>
  <si>
    <t>CAMPANA</t>
  </si>
  <si>
    <t>CARTERA</t>
  </si>
  <si>
    <t>SUBCARTERA</t>
  </si>
  <si>
    <t>RUC_DNI</t>
  </si>
  <si>
    <t>RAZON_SOCIAL</t>
  </si>
  <si>
    <t>OPERACION</t>
  </si>
  <si>
    <t>FECHA_DE_PAGO</t>
  </si>
  <si>
    <t>MONTO</t>
  </si>
  <si>
    <t>ESTADO_PLANILLA</t>
  </si>
  <si>
    <t>PLANILLAS_PAGADAS</t>
  </si>
  <si>
    <t>PLANILLAS_VIGENTES</t>
  </si>
  <si>
    <t>CORREO_FACTURA</t>
  </si>
  <si>
    <t>NUMERO_FACTURA</t>
  </si>
  <si>
    <t>LAURA VILLANUEVA</t>
  </si>
  <si>
    <t>PREJUDICIAL FLUJO</t>
  </si>
  <si>
    <t>PRIMA_AFP_PREJUDICIAL_FLUJO</t>
  </si>
  <si>
    <t>PARCIAL</t>
  </si>
  <si>
    <t>TOTAL</t>
  </si>
  <si>
    <t>REDIRECCIONAMIENTO</t>
  </si>
  <si>
    <t>PRIMA_AFP_REDIRECCIONAMIENTO</t>
  </si>
  <si>
    <t>VALOR VENTA</t>
  </si>
  <si>
    <t>IGV</t>
  </si>
  <si>
    <t>LESLY ZARATE</t>
  </si>
  <si>
    <t>DICIEMBRE WORLD 2025</t>
  </si>
  <si>
    <t>DEUDA REAL TOTAL</t>
  </si>
  <si>
    <t>PRIMA_AFP_DEUDA_REAL_TOTAL</t>
  </si>
  <si>
    <t>GINOR EMPRESA INDIVIDUAL DE RESPONSABILIDAD LIMITA</t>
  </si>
  <si>
    <t>PRESUNTA</t>
  </si>
  <si>
    <t>PRIMA_AFP_PRESUNTA</t>
  </si>
  <si>
    <t>202509|202510</t>
  </si>
  <si>
    <t>202506|202507|202508|202509|202510</t>
  </si>
  <si>
    <t>SIN PAGO</t>
  </si>
  <si>
    <t>202505|202506|202507</t>
  </si>
  <si>
    <t>F PROYECTS S.A.C.</t>
  </si>
  <si>
    <t>INVERSIONES FRIO PACIFICO EIRL</t>
  </si>
  <si>
    <t>PAOL KAT IMPORT E.I.R.L.</t>
  </si>
  <si>
    <t>PALMAGYAR S.A.</t>
  </si>
  <si>
    <t>INVERSIONES BASAQUI S.A.C.</t>
  </si>
  <si>
    <t>MINERA MARINERIS S.A.C.</t>
  </si>
  <si>
    <t>CORPORACION DE ASESORAMIENTO Y CAPACITACION PROFESIONAL C.A.C.P. S.R.L.</t>
  </si>
  <si>
    <t>ENERO WORLD 2026</t>
  </si>
  <si>
    <t>MULTISERVICIOS HEBARY EIRL</t>
  </si>
  <si>
    <t>INST SUPERIOR TECNOLOGICO AMERICA</t>
  </si>
  <si>
    <t>CALDERON BASADRE JOSE MIGUEL</t>
  </si>
  <si>
    <t>GLOBAL COOP SOCIEDAD ANONIMA CERRADA - GLOBAL COOP S.A.C.</t>
  </si>
  <si>
    <t>CENTRO MEDICO CLINICA LAS PALMERAS SOCIEDAD ANONIMA CERRADA - C.M. LAS PALMERAS S.A.C.</t>
  </si>
  <si>
    <t>FUKUMOTO CHAVEZ CARLOS KIYOSHI</t>
  </si>
  <si>
    <t>CARNES CARNIVORA S.A.C.</t>
  </si>
  <si>
    <t>MULTISERVICIOS KGM E.I.R.L</t>
  </si>
  <si>
    <t>KUNAQ &amp; ASOCIADOS S.A.C.</t>
  </si>
  <si>
    <t>CAMACHO TORRES NATIVIDAD</t>
  </si>
  <si>
    <t>CORPORACION LOPEZ BELLO S.A.C.</t>
  </si>
  <si>
    <t>G-UMWELT S.A.C.</t>
  </si>
  <si>
    <t>EDEN AGROEXPORT S.A.C.</t>
  </si>
  <si>
    <t>ANDIAMO PRODUCCIONES SOCIEDAD ANONIMA CERRADA</t>
  </si>
  <si>
    <t>PROVEEDORES ASOCIADOS FABRICANTES SOCIEDAD ANONIMA CERRADA</t>
  </si>
  <si>
    <t>MAYORGA DE MEGO OLGA DOLORES</t>
  </si>
  <si>
    <t>ZALVACORP E.I.R.L.</t>
  </si>
  <si>
    <t>CORPORACION VIDALGRAF E.I.R.L.</t>
  </si>
  <si>
    <t>JORGE PAREDES</t>
  </si>
  <si>
    <t>CONSTRUCTORA MAPEFLO S.A.C.</t>
  </si>
  <si>
    <t>PACHECO VILLALOBOS JUAN ANSELMO</t>
  </si>
  <si>
    <t>GRUPO SEBASTIAN X SOCIEDAD ANONIMA - GSX S.A.</t>
  </si>
  <si>
    <t>CALLAO CONTAINERS COMPANY S.A.C.</t>
  </si>
  <si>
    <t>POWER TECHNOLOGY S.A.</t>
  </si>
  <si>
    <t>EDFI TRANSPORT SOCIEDAD ANONIMA CERRADA - EDFI TRANSPORT S.A.C.</t>
  </si>
  <si>
    <t>CUIDADOS VETERINARIOS G &amp; M S.A.C.</t>
  </si>
  <si>
    <t>PARADERO CREATIVO S.A.C.</t>
  </si>
  <si>
    <t>FUENTE MEDIO S.A.C.</t>
  </si>
  <si>
    <t>ATM MAQUINARIAS S.A.C.</t>
  </si>
  <si>
    <t>SUMAQ VIAJES Y TURISMO S.A.C.</t>
  </si>
  <si>
    <t>VET CAJAMARQUINOS S.A.C.</t>
  </si>
  <si>
    <t>PACHECO LOZANO DE HUALI MARGOT</t>
  </si>
  <si>
    <t>DREIZACK S.R.LTDA.</t>
  </si>
  <si>
    <t>PLASTICOS EDUCATIVOS S.A.C.</t>
  </si>
  <si>
    <t>PARROQUIA NUESTRA SRA DEL ROSARIO</t>
  </si>
  <si>
    <t>GENARO JHV S.A.C.</t>
  </si>
  <si>
    <t>J &amp; D ACABADOS Y SERVICIOS GENERALES E.I.R.L.</t>
  </si>
  <si>
    <t>OH GROUP INTERNATIONAL S.A.C.</t>
  </si>
  <si>
    <t>GOMEZ DE LA TORRE DE MACEDO URSULA LUCIA</t>
  </si>
  <si>
    <t>CANLLAHUA APAZA LUIS ARLES</t>
  </si>
  <si>
    <t>REPARACIONES ESPECIALES S.A.C.</t>
  </si>
  <si>
    <t>HOTEL &amp; CHIFA CANTONE´S E.I.R.L.</t>
  </si>
  <si>
    <t>GRUPO TARGET S.A.C.</t>
  </si>
  <si>
    <t>KONECTADOS LATAM E.I.R.L.</t>
  </si>
  <si>
    <t>AGER PUMPS E.I.R.L.</t>
  </si>
  <si>
    <t>SPAZIO M2 GRUPO INMOBILIARIO S.A.C.</t>
  </si>
  <si>
    <t>CORTIN SOCIEDAD ANONIMA CERRADA</t>
  </si>
  <si>
    <t>ALL-SWER PERU S.A.C.</t>
  </si>
  <si>
    <t>PERUANORTE E.I.R.L.</t>
  </si>
  <si>
    <t>CONSTRUCTORA CINCO ESTRELLA S.A.C.</t>
  </si>
  <si>
    <t>CLINICA INTEGRAL AVANZADA DEL TRATAMIENTO DE LAS OBESIDADES S.A.C.</t>
  </si>
  <si>
    <t>ACOTA CORP SOCIEDAD ANONIMA CERRADA</t>
  </si>
  <si>
    <t>GREEN BRANDS PERU S.A.C.</t>
  </si>
  <si>
    <t>VALECA TRANSPORT S.A.C.</t>
  </si>
  <si>
    <t>MADERAS &amp; DERIVADOS CVC EMPRESA INDIVIDUAL DE RESPONSABILIDAD LIMITADA</t>
  </si>
  <si>
    <t>SERVICIOS GENERALES JOVATECH E.I.R.L.</t>
  </si>
  <si>
    <t>EPAL NEGOCIOS S.A.C.</t>
  </si>
  <si>
    <t>BIOINGENIEROS S.A.C.</t>
  </si>
  <si>
    <t>MARIA DE LA NATIVIDAD E.I.R.L</t>
  </si>
  <si>
    <t>JORVIN GROUP PERU S.A.C.</t>
  </si>
  <si>
    <t>SKY ICE &amp; WATER S.A.C.</t>
  </si>
  <si>
    <t>SERVICIOS GENERALES SILMON S.A.C.</t>
  </si>
  <si>
    <t>FENIX CODEX E.I.R.L.</t>
  </si>
  <si>
    <t>LOPEZ VALENZUELA NARCIZA</t>
  </si>
  <si>
    <t>FYB CAUCHOS GRAMU COMPANY S.A.C.</t>
  </si>
  <si>
    <t>CONSORCIO AMARU</t>
  </si>
  <si>
    <t>O &amp; C COMPANY S.A.C.</t>
  </si>
  <si>
    <t>EMGIEM BC SOCIEDAD ANONIMA CERRADA</t>
  </si>
  <si>
    <t>IMPORT &amp; EXPORT FUNDO VALDEZ E.I.R.L.</t>
  </si>
  <si>
    <t>SALVADOR LOGISTICA INTEGRADA S.A.C</t>
  </si>
  <si>
    <t>CAMIP INVERSIONES S.A.C.</t>
  </si>
  <si>
    <t>AGROINVERSIONES FLORES A &amp; F E.I.R.L.</t>
  </si>
  <si>
    <t>MANTENIMIENTO GENERALES CORPORATION S.A.C.</t>
  </si>
  <si>
    <t>MEMPHIS MAQUINARIAS S.A.C.</t>
  </si>
  <si>
    <t>SUPERIOR AMERICAN CLEANERS EIRL</t>
  </si>
  <si>
    <t>EMPRESA CONSTRUCTORA Y SERVICIOS MULTIPLES SAMANIEGO S.A.C.</t>
  </si>
  <si>
    <t>DAN CUDA TELECOMUNICACIONES S.A.C.</t>
  </si>
  <si>
    <t>INVERSIONES JORE JAUPA PERU S.A.C.</t>
  </si>
  <si>
    <t>INVERSIONES UDEB S.A.C.</t>
  </si>
  <si>
    <t>NEUMATICAR S.A.C.</t>
  </si>
  <si>
    <t>JDPLAST PERU S.A.C.</t>
  </si>
  <si>
    <t>LIZ CLINICA DENTAL Y ESTETICA E.I.R.L.</t>
  </si>
  <si>
    <t>MULTISERVICIOS SELMA S.A.C. - MULTISEL S.A.C.</t>
  </si>
  <si>
    <t>FERNANDEZ PERALTA ROBINSON</t>
  </si>
  <si>
    <t>F001-00036207</t>
  </si>
  <si>
    <t>ifp_eirl@hotmail.com / eoleiva@live.com.mx</t>
  </si>
  <si>
    <t>F001-00036216</t>
  </si>
  <si>
    <t>vanessa_alvan@hotmail.com</t>
  </si>
  <si>
    <t>F001-00036226</t>
  </si>
  <si>
    <t>finanzas@palmagyar.com/elizabeth.cordova@palmagyar.com/contabilidad@palmagyar.com</t>
  </si>
  <si>
    <t>F001-00036235</t>
  </si>
  <si>
    <t>CARLOS ZAVALETA (CONTADOR)</t>
  </si>
  <si>
    <t>F001-00036242</t>
  </si>
  <si>
    <t>FIORELLA CAMPOMANES</t>
  </si>
  <si>
    <t>F001-00036282</t>
  </si>
  <si>
    <t>NUÑEZ GOMEZ MIJAIL ANDRE</t>
  </si>
  <si>
    <t>F001-00036371</t>
  </si>
  <si>
    <t>202508|202509|202510|202511</t>
  </si>
  <si>
    <t>F001-00036385</t>
  </si>
  <si>
    <t>202510|202511</t>
  </si>
  <si>
    <t>JOSE EDUARDO</t>
  </si>
  <si>
    <t>F001-00036372</t>
  </si>
  <si>
    <t>202506|202507|202508|202509|202510|202511</t>
  </si>
  <si>
    <t>F001-00036398</t>
  </si>
  <si>
    <t>administracion@bakauperu.com</t>
  </si>
  <si>
    <t>F001-00036402</t>
  </si>
  <si>
    <t>cmpalmeras.gaf@gmail.com</t>
  </si>
  <si>
    <t>F001-00036413</t>
  </si>
  <si>
    <t>F001-00036414</t>
  </si>
  <si>
    <t>p.marroquin.r@outlook.com</t>
  </si>
  <si>
    <t>F001-00036415</t>
  </si>
  <si>
    <t>NATALIA</t>
  </si>
  <si>
    <t>F001-00036464</t>
  </si>
  <si>
    <t>LISSETH ARIAS</t>
  </si>
  <si>
    <t>F001-00036465</t>
  </si>
  <si>
    <t>202508|202510|202511</t>
  </si>
  <si>
    <t>F001-00036475</t>
  </si>
  <si>
    <t>VICTORIA</t>
  </si>
  <si>
    <t>F001-00036476</t>
  </si>
  <si>
    <t>JONATHAN</t>
  </si>
  <si>
    <t>F001-00036477</t>
  </si>
  <si>
    <t>SILVANA</t>
  </si>
  <si>
    <t>F001-00036489</t>
  </si>
  <si>
    <t>F001-00036491</t>
  </si>
  <si>
    <t>202509|202510|202511</t>
  </si>
  <si>
    <t>202506|202507|202508</t>
  </si>
  <si>
    <t>F001-00036501</t>
  </si>
  <si>
    <t>Olga mayorga</t>
  </si>
  <si>
    <t>F001-00036503</t>
  </si>
  <si>
    <t>VALDIVIESO LOPEZ LUIS EDUARDO</t>
  </si>
  <si>
    <t>F001-00036515</t>
  </si>
  <si>
    <t>PEREDA LANEGRA JUAN JOSE</t>
  </si>
  <si>
    <t>F001-00036505</t>
  </si>
  <si>
    <t>FLORES DEL RIO CRISTHIAN MICHELL</t>
  </si>
  <si>
    <t>F001-00036520</t>
  </si>
  <si>
    <t>DIEGO VILLA</t>
  </si>
  <si>
    <t>F001-00036507</t>
  </si>
  <si>
    <t>DIAZ CHACON OSCAR HILARIO</t>
  </si>
  <si>
    <t>F001-00036527</t>
  </si>
  <si>
    <t>hmcontadores22@gmail.com</t>
  </si>
  <si>
    <t>F001-00036550</t>
  </si>
  <si>
    <t>F001-00036551</t>
  </si>
  <si>
    <t>202509|202511</t>
  </si>
  <si>
    <t>201306|201307|201308|201309|201310|201311|201312|201401|201402|201403|201404|201405|201406|201407|201408|201409|201410|201411|201412|201501|201502|201</t>
  </si>
  <si>
    <t>F001-00036554</t>
  </si>
  <si>
    <t>GUEVARA CRISANTO JUAN ERNESTO</t>
  </si>
  <si>
    <t>F001-00036563</t>
  </si>
  <si>
    <t>tamarizjavier20@gmail.com</t>
  </si>
  <si>
    <t>F001-00036555</t>
  </si>
  <si>
    <t>F001-00036581</t>
  </si>
  <si>
    <t>RISCO ROMANI RENZO JAVIER</t>
  </si>
  <si>
    <t>F001-00036572</t>
  </si>
  <si>
    <t>JAZMIN KLOES</t>
  </si>
  <si>
    <t>F001-00036488</t>
  </si>
  <si>
    <t>reservas@sumaqviajes.pe</t>
  </si>
  <si>
    <t>F001-00036588</t>
  </si>
  <si>
    <t>Henry Aliaga</t>
  </si>
  <si>
    <t>F001-00036637</t>
  </si>
  <si>
    <t>202501|202502|202503|202504|202505</t>
  </si>
  <si>
    <t>juancito.ruiz1212@gmail.com</t>
  </si>
  <si>
    <t>F001-00036590</t>
  </si>
  <si>
    <t>F001-00036638</t>
  </si>
  <si>
    <t>plasticoseducativos@gmail.com</t>
  </si>
  <si>
    <t>F001-00036591</t>
  </si>
  <si>
    <t>parroquiansradelrosariochacla@gmail.com</t>
  </si>
  <si>
    <t>HARO ZEGARRA GENARO</t>
  </si>
  <si>
    <t>F001-00036639</t>
  </si>
  <si>
    <t>jashce17@gmail.com</t>
  </si>
  <si>
    <t>F001-00036592</t>
  </si>
  <si>
    <t>MILAGROS JUAREZ</t>
  </si>
  <si>
    <t>F001-00036640</t>
  </si>
  <si>
    <t>F001-00036594</t>
  </si>
  <si>
    <t>LUIS ARLES</t>
  </si>
  <si>
    <t>F001-00036641</t>
  </si>
  <si>
    <t>F001-00036642</t>
  </si>
  <si>
    <t>HERNANDEZ SANCHEZ ZULEMA CAROLINA</t>
  </si>
  <si>
    <t>F001-00036615</t>
  </si>
  <si>
    <t>LUIS</t>
  </si>
  <si>
    <t>F001-00036643</t>
  </si>
  <si>
    <t>VILLA SANCHEZ JEAN FRANCO CHRISTIAN</t>
  </si>
  <si>
    <t>F001-00036644</t>
  </si>
  <si>
    <t>irisfer93@gmail.com</t>
  </si>
  <si>
    <t>F001-00036631</t>
  </si>
  <si>
    <t>PEZO JIMENEZ JULISSA PAOLA</t>
  </si>
  <si>
    <t>F001-00036478</t>
  </si>
  <si>
    <t>OBREGON TANTAS VILMA</t>
  </si>
  <si>
    <t>F001-00036645</t>
  </si>
  <si>
    <t>contablesrubio@gmail.com</t>
  </si>
  <si>
    <t>DAVILA PEREZ LUIS RENZO</t>
  </si>
  <si>
    <t>administracion@constructoracincoestrella.com</t>
  </si>
  <si>
    <t>MILAGROS ACOTA</t>
  </si>
  <si>
    <t>MANZANAL HERRERA MARIA JIMENA</t>
  </si>
  <si>
    <t>ing.portellar.93@gmail.com</t>
  </si>
  <si>
    <t>JAIME</t>
  </si>
  <si>
    <t>VERA BAUTISTA JONATHAN BRAYAN</t>
  </si>
  <si>
    <t>201805|201806</t>
  </si>
  <si>
    <t>administracion@jorvingroup.com</t>
  </si>
  <si>
    <t>NEYRA RODRIGUEZ JULIO CESAR</t>
  </si>
  <si>
    <t>PIZARRO TALAVERA JOSE ROMULO</t>
  </si>
  <si>
    <t>GIOVANNI</t>
  </si>
  <si>
    <t>RODRIGUEZ CUEVA EDGAR</t>
  </si>
  <si>
    <t>casamascotas.losolivos@hotmail.com</t>
  </si>
  <si>
    <t>claudiapatriciaporras@gmail.com</t>
  </si>
  <si>
    <t>kayalasa@gmail.com</t>
  </si>
  <si>
    <t>KELY</t>
  </si>
  <si>
    <t>MACHER JIMENEZ GUILLERMO JORGE</t>
  </si>
  <si>
    <t>GUERRA GALLEGOS JORGE LUIS</t>
  </si>
  <si>
    <t>Ana Chipana</t>
  </si>
  <si>
    <t>AMAYA TRUJILLO DANIXA</t>
  </si>
  <si>
    <t>HUANCA MAMANI URSULA DORIS</t>
  </si>
  <si>
    <t>estudiodiscont@gmail.com</t>
  </si>
  <si>
    <t>202507|202508|202509|202510|202511</t>
  </si>
  <si>
    <t>ANTONELA SILVA</t>
  </si>
  <si>
    <t>MORI TORRES ESTEFHANY CHERIL</t>
  </si>
  <si>
    <t>MARIA QUISPE</t>
  </si>
  <si>
    <t>ROSARIO ALVAREZ</t>
  </si>
  <si>
    <t>TERESA FERNANDEZ</t>
  </si>
  <si>
    <t>ROSALES HIDRAULICOS S.A.C.</t>
  </si>
  <si>
    <t>HUERE ASTUPIÑAN CRISTIAM</t>
  </si>
  <si>
    <t>FAMILY INMOBILIARIA S.A.C.</t>
  </si>
  <si>
    <t>SVTRANSPER S.A.C.</t>
  </si>
  <si>
    <t>TRANSPORTES Y NEGOCIOS GENERALES REYNA DEL CISNE EIRL</t>
  </si>
  <si>
    <t>CORPORACION Q &amp; T S.A.C.</t>
  </si>
  <si>
    <t>C.E.P. ASOCIACION EDUCATIVA DIVINO NIÑO DE PRAGA</t>
  </si>
  <si>
    <t>COLEGIO ODONTOLOGICO DEL PERU - REGION LORETO</t>
  </si>
  <si>
    <t>GRUPO UMBELA S.A.</t>
  </si>
  <si>
    <t>GOOD FOOD SUR E.I.R.L</t>
  </si>
  <si>
    <t>M &amp; V SEGURIDAD TOTAL S.R.L.</t>
  </si>
  <si>
    <t>TEXTILES F.R. S.R.L.</t>
  </si>
  <si>
    <t>LA VANITE CORPORATION S.A.C.</t>
  </si>
  <si>
    <t>VILLANUEVA JAMJACHI ABEL JESUS</t>
  </si>
  <si>
    <t>DIGITAL COMPUTER SERVICE S R LTDA</t>
  </si>
  <si>
    <t>COMERCIAL ALPES E.I.R.L.</t>
  </si>
  <si>
    <t>CONYMAQ S.A.C.</t>
  </si>
  <si>
    <t>INKA´S WAY TRAVEL EMPRESA INDIVIDUAL DE RESPONSABILIDAD LIMITADA - INKA´S WAY TRAVEL E.I.R.L.</t>
  </si>
  <si>
    <t>INDUSTRIA Y TECNOLOGIA DE MOLDES Y MATRICES S.A.C.</t>
  </si>
  <si>
    <t>SERVICIOS CASTILLO &amp; LARIOS E.I.R.L.</t>
  </si>
  <si>
    <t>COMING SOON S.A.C.</t>
  </si>
  <si>
    <t>INVERSIONES LA CANTERA SAC</t>
  </si>
  <si>
    <t>QUIMICA RODRIGUEZ &amp; FLORES S.A.C.</t>
  </si>
  <si>
    <t>HECTOR COLLANTES LUNA ASESORES &amp; CONSULTORES E.I.R.L.</t>
  </si>
  <si>
    <t>EXPERTOS EN TRANSPORTES REFRIGERADOS C &amp; E S.A.C.-REFRIGERADOS C &amp; E S.A.C.</t>
  </si>
  <si>
    <t>BELLKS EIRL</t>
  </si>
  <si>
    <t>LAURA HUILLCA ANTONIETA</t>
  </si>
  <si>
    <t>JULIETA NAILS SALON E.I.R.L.</t>
  </si>
  <si>
    <t>VELMAR PERU E.I.R.L.</t>
  </si>
  <si>
    <t>3R BEAUTY STUDIO S.A.C.</t>
  </si>
  <si>
    <t>GRUPO C M P CONSULTORES Y CONTRATISTAS GENERALES E</t>
  </si>
  <si>
    <t>SERAPHIS PUBLICIDAD Y PUNTO E.I.R.L.</t>
  </si>
  <si>
    <t>MULTISERVICIOS ALU S.A.C.</t>
  </si>
  <si>
    <t>EVOLUCION PERÚ S.R.L.</t>
  </si>
  <si>
    <t>CORPORACION UCHUYA S.R.L</t>
  </si>
  <si>
    <t>CORPORACION TOURS VIRGEN DE CHAPI E.I.R.L.</t>
  </si>
  <si>
    <t>IL FORNO BIANCO E.I.R.L.</t>
  </si>
  <si>
    <t>ARQ GARAGE S.A.C</t>
  </si>
  <si>
    <t>GRUPO CIDET E.I.R.L.</t>
  </si>
  <si>
    <t>360 FITNESS CENTER PERU E.I.R.L.</t>
  </si>
  <si>
    <t>MONTACARGAS ALIAGA S.A.C.</t>
  </si>
  <si>
    <t>NEXT PURE WATER S.A.C. - NEXPWATER S.A.C.</t>
  </si>
  <si>
    <t>ORUGAS RENTAL E.I.R.L.</t>
  </si>
  <si>
    <t>ESCUELA DE DIRECCION Y ALTA GERENCIA S.A.C.</t>
  </si>
  <si>
    <t>TUBERIAS Y EQUIPOS SAC</t>
  </si>
  <si>
    <t>ARENA DORADA S.A.C.</t>
  </si>
  <si>
    <t>OLIVEZA SOCIEDAD ANONIMA CERRADA</t>
  </si>
  <si>
    <t>LBM ARIZA INVERSIONES S.A.C.</t>
  </si>
  <si>
    <t>INVERSIONES VIVANCO S.R.LTDA</t>
  </si>
  <si>
    <t>ROJAS ESCATE CESAR ENRIQUE</t>
  </si>
  <si>
    <t>INVERSIONES DIVERSAS TE PEZQUE MATIAS Y LUIS S.A.C.</t>
  </si>
  <si>
    <t>CONSORCIO PACALI TAMBO</t>
  </si>
  <si>
    <t>MEGASTORE R.R. S.A.C.</t>
  </si>
  <si>
    <t>CORPORACION COOMINSA DEL SUR SOCIEDAD ANONIMA</t>
  </si>
  <si>
    <t>GRUPO SORCE SOCIEDAD ANONIMA CERRADA</t>
  </si>
  <si>
    <t>CONSTRUCTORA Y MULTISERVICIOS SUMAC URPI A &amp; R EMPRESA INDIVIDUAL DE RESPONSABILIDAD LIMITADA</t>
  </si>
  <si>
    <t>VOLCAMS E.I.R.L.</t>
  </si>
  <si>
    <t>RENGINEER SERVICIOS PROFESIONALES S.A.C.</t>
  </si>
  <si>
    <t>COMPRESORES DE TORNILLO S.A.C.</t>
  </si>
  <si>
    <t>CORPORACION PETER THE GREAT SOCIEDAD ANONIMA CERRADA - CORPORACION PETER THE GREAT S.A.C.</t>
  </si>
  <si>
    <t>FELIX CANO GONZALES PROYECTOS SERVICIOS Y MANTENIMIENTO E.I.R.L. - FCG PROYSEMA E.I.R.L.</t>
  </si>
  <si>
    <t>ASESORIA EMPRESARIAL CONTABLE E &amp; P S.R.L.</t>
  </si>
  <si>
    <t>CARRION PACHECO GIANCARLO TEOFILO</t>
  </si>
  <si>
    <t>HARU LOGISTICS S.A.C.</t>
  </si>
  <si>
    <t>GRUPO CAJABAMBA S.A.C.</t>
  </si>
  <si>
    <t>EQUIPMENTS &amp; SUPPLIES MINING TECH S.A.C.</t>
  </si>
  <si>
    <t>FRUVEGO SOCIEDAD ANONIMA CERRADA</t>
  </si>
  <si>
    <t>INVERSIONES MEDICAS PERUANAS SOCIEDAD ANONIMA CERRADA</t>
  </si>
  <si>
    <t>FORMAVENA CONSTRUCTORES Y SERVICIOS GENERALES S.A.C.</t>
  </si>
  <si>
    <t>G &amp; R METALCORP SOCIEDAD ANONIMA CERRADA</t>
  </si>
  <si>
    <t>NEW DIGITAL PARTNERS S.A.C.</t>
  </si>
  <si>
    <t>ASOCIACION CIVIL DE SERVICIOS EDUCATIVOS MARIA AUXILIADORA</t>
  </si>
  <si>
    <t>CASA ALTA SERVICIOS S.R.L.</t>
  </si>
  <si>
    <t>EMPRESA MINERA AMACHIC S.A.</t>
  </si>
  <si>
    <t>JC PROYECTOS COMERCIALES S.A.C.</t>
  </si>
  <si>
    <t>F001-00036657</t>
  </si>
  <si>
    <t>F001-00036667</t>
  </si>
  <si>
    <t>F001-00036740</t>
  </si>
  <si>
    <t>F001-00036671</t>
  </si>
  <si>
    <t>F001-00036677</t>
  </si>
  <si>
    <t>F001-00036742</t>
  </si>
  <si>
    <t>F001-00036743</t>
  </si>
  <si>
    <t>F001-00036684</t>
  </si>
  <si>
    <t>F001-00036744</t>
  </si>
  <si>
    <t>F001-00036745</t>
  </si>
  <si>
    <t>F001-00036690</t>
  </si>
  <si>
    <t>F001-00036699</t>
  </si>
  <si>
    <t>F001-00036700</t>
  </si>
  <si>
    <t>F001-00036694</t>
  </si>
  <si>
    <t>F001-00036746</t>
  </si>
  <si>
    <t>F001-00036710</t>
  </si>
  <si>
    <t>F001-00036747</t>
  </si>
  <si>
    <t>F001-00036750</t>
  </si>
  <si>
    <t>F001-00036715</t>
  </si>
  <si>
    <t>F001-00036716</t>
  </si>
  <si>
    <t>F001-00036748</t>
  </si>
  <si>
    <t>F001-00036759</t>
  </si>
  <si>
    <t>F001-00036727</t>
  </si>
  <si>
    <t>F001-00036749</t>
  </si>
  <si>
    <t>F001-00036613</t>
  </si>
  <si>
    <t>F001-00036765</t>
  </si>
  <si>
    <t>F001-00036896</t>
  </si>
  <si>
    <t>F001-00036897</t>
  </si>
  <si>
    <t>F001-00036898</t>
  </si>
  <si>
    <t>F001-00036899</t>
  </si>
  <si>
    <t>F001-00036900</t>
  </si>
  <si>
    <t>F001-00036789</t>
  </si>
  <si>
    <t>F001-00036914</t>
  </si>
  <si>
    <t>F001-00036799</t>
  </si>
  <si>
    <t>F001-00036901</t>
  </si>
  <si>
    <t>F001-00036902</t>
  </si>
  <si>
    <t>F001-00036903</t>
  </si>
  <si>
    <t>rosaleshidraulicos3@gmail.com</t>
  </si>
  <si>
    <t>F001-00036813</t>
  </si>
  <si>
    <t>F001-00036816</t>
  </si>
  <si>
    <t>MARJORIE</t>
  </si>
  <si>
    <t>F001-00036904</t>
  </si>
  <si>
    <t>F001-00036826</t>
  </si>
  <si>
    <t>MIGUEL</t>
  </si>
  <si>
    <t>F001-00036905</t>
  </si>
  <si>
    <t>ZAVALA CAMPOS JULIO MANUEL</t>
  </si>
  <si>
    <t>F001-00036906</t>
  </si>
  <si>
    <t>JOVANA</t>
  </si>
  <si>
    <t>F001-00036907</t>
  </si>
  <si>
    <t>asuncionbarrera2015@gmail.com</t>
  </si>
  <si>
    <t>F001-00036833</t>
  </si>
  <si>
    <t>maria</t>
  </si>
  <si>
    <t>F001-00036908</t>
  </si>
  <si>
    <t>F001-00036842</t>
  </si>
  <si>
    <t>F001-00036925</t>
  </si>
  <si>
    <t>F001-00036859</t>
  </si>
  <si>
    <t>F001-00036926</t>
  </si>
  <si>
    <t>RUTH</t>
  </si>
  <si>
    <t>F001-00036909</t>
  </si>
  <si>
    <t>CONCHA SALAZAR DANILO</t>
  </si>
  <si>
    <t>F001-00036910</t>
  </si>
  <si>
    <t>KATY SILVESTRE</t>
  </si>
  <si>
    <t>F001-00036911</t>
  </si>
  <si>
    <t>erik.floresgaldos@gmail.com</t>
  </si>
  <si>
    <t>F001-00036868</t>
  </si>
  <si>
    <t>inkasway_travel@hotmail.com</t>
  </si>
  <si>
    <t>F001-00036870</t>
  </si>
  <si>
    <t>CARHUAZ ASTUHUAMAN ANDY JOEL</t>
  </si>
  <si>
    <t>F001-00036912</t>
  </si>
  <si>
    <t>servicioscastillo@hotmail.com</t>
  </si>
  <si>
    <t>F001-00036927</t>
  </si>
  <si>
    <t>F001-00036883</t>
  </si>
  <si>
    <t>lacanera1@gmail.com</t>
  </si>
  <si>
    <t>F001-00036886</t>
  </si>
  <si>
    <t>emaluz_2008_08@hotmail.com</t>
  </si>
  <si>
    <t>F001-00036930</t>
  </si>
  <si>
    <t>F001-00036932</t>
  </si>
  <si>
    <t>CANCHIHUAMAN ESPINOZA JAMES PAUL</t>
  </si>
  <si>
    <t>F001-00036966</t>
  </si>
  <si>
    <t>F001-00036941</t>
  </si>
  <si>
    <t>F001-00036946</t>
  </si>
  <si>
    <t>ANCHATE HUAMAN GUILLIANA</t>
  </si>
  <si>
    <t>F001-00036967</t>
  </si>
  <si>
    <t>SEMINARIO CURAY JORGE IVAN</t>
  </si>
  <si>
    <t>F001-00036754</t>
  </si>
  <si>
    <t>teresa@3rbeautystudio.com</t>
  </si>
  <si>
    <t>F001-00036952</t>
  </si>
  <si>
    <t>201310|201311|201312|201401|201408|201409</t>
  </si>
  <si>
    <t>MAGNO PEREZ CARMEN</t>
  </si>
  <si>
    <t>F001-00036752</t>
  </si>
  <si>
    <t>HINOJOSA INOCENTE ELIZABETH MAGALY</t>
  </si>
  <si>
    <t>F001-00036968</t>
  </si>
  <si>
    <t>F001-00036953</t>
  </si>
  <si>
    <t>F001-00037016</t>
  </si>
  <si>
    <t>augusto.ud@gmail.com</t>
  </si>
  <si>
    <t>F001-00037019</t>
  </si>
  <si>
    <t>F001-00037024</t>
  </si>
  <si>
    <t>BIANCO MUÑOZ JORGE</t>
  </si>
  <si>
    <t>F001-00037082</t>
  </si>
  <si>
    <t>DIAZ CONDORI MERCEDES</t>
  </si>
  <si>
    <t>F001-00037083</t>
  </si>
  <si>
    <t>grupo.cidet@gmail.com</t>
  </si>
  <si>
    <t>F001-00037031</t>
  </si>
  <si>
    <t>orihueladaniel25@gmail.com / garyottinianomalaga@gmail.com</t>
  </si>
  <si>
    <t>F001-00037032</t>
  </si>
  <si>
    <t>F001-00037040</t>
  </si>
  <si>
    <t>administracion@nexpwater.com</t>
  </si>
  <si>
    <t>F001-00036984</t>
  </si>
  <si>
    <t>contabilidadshalom7@gmail.com</t>
  </si>
  <si>
    <t>emendozan7@yahoo.es</t>
  </si>
  <si>
    <t>F001-00037057</t>
  </si>
  <si>
    <t>bpilco@outlook.com</t>
  </si>
  <si>
    <t>F001-00037065</t>
  </si>
  <si>
    <t>estudio_avendano@hotmail.com</t>
  </si>
  <si>
    <t>F001-00036972</t>
  </si>
  <si>
    <t>gestioncontable.fernandez@gmail.com</t>
  </si>
  <si>
    <t>F001-00037072</t>
  </si>
  <si>
    <t>F001-00037073</t>
  </si>
  <si>
    <t>F001-00037075</t>
  </si>
  <si>
    <t>gsadithcahuana@gmail.com</t>
  </si>
  <si>
    <t>F001-00037076</t>
  </si>
  <si>
    <t>comsorciokyasac@hotmail.com</t>
  </si>
  <si>
    <t>porfirioccama0@gmail.com</t>
  </si>
  <si>
    <t>jazminerch3@hotmail.com</t>
  </si>
  <si>
    <t>HUACHACA QUISPE SABINA</t>
  </si>
  <si>
    <t>FLORES TIPIAN ROSMELI LISBETH</t>
  </si>
  <si>
    <t>ANTONY SOTO</t>
  </si>
  <si>
    <t>secretaria@gutierrezasociados.pe</t>
  </si>
  <si>
    <t>PAULO CANO.</t>
  </si>
  <si>
    <t>MERY ARIAS</t>
  </si>
  <si>
    <t>202507|202508|202509|202510</t>
  </si>
  <si>
    <t>recursoshumanosescudos@gmail.com</t>
  </si>
  <si>
    <t>rosario862@gmail.com</t>
  </si>
  <si>
    <t>grupocajabambasac@gmail.com</t>
  </si>
  <si>
    <t>KATHERIN GUEVARA</t>
  </si>
  <si>
    <t>fruvego@hotmail.com</t>
  </si>
  <si>
    <t>doctorstephenquiroz@gmail.com / conisalu1@yahoo.es / contacto.yja@jacontadores.pe / contacto.mg@jaco</t>
  </si>
  <si>
    <t>202505|202506|202507|202508|202509|202510|202511</t>
  </si>
  <si>
    <t>JORGE NANO</t>
  </si>
  <si>
    <t>cetpromauxiliadora@hotmail.com</t>
  </si>
  <si>
    <t>casaalta345@gmail.com</t>
  </si>
  <si>
    <t>MARY</t>
  </si>
  <si>
    <t>VILLEGAS ROSALES KATHIA MELISSA</t>
  </si>
  <si>
    <t>CARITAS DIOCESANA DEL CALLAO</t>
  </si>
  <si>
    <t>INSTITUTO DEL RIÑON E.I.R.L.</t>
  </si>
  <si>
    <t>GRUPO VANILU S.A.C.</t>
  </si>
  <si>
    <t>AVILA ARTEAGA SEBASTIAN ALEXANDER</t>
  </si>
  <si>
    <t>CHOCOMUSEO SOCIEDAD ANÓNIMA CERRADA - CHOCOMUSEO S.A.C.</t>
  </si>
  <si>
    <t>200807|201011|201110|201111|201201|201202|201203</t>
  </si>
  <si>
    <t>200709|200711|200712|200801|200802|200803|200805|200806|200807|200808|200809|200811|200812|200901|200902|200903|200905|200906|200907|200908|200909|200</t>
  </si>
  <si>
    <t>F001-00036578</t>
  </si>
  <si>
    <t>F001-00037094</t>
  </si>
  <si>
    <t>F001-00037096</t>
  </si>
  <si>
    <t>F001-00037098</t>
  </si>
  <si>
    <t>F001-00037103</t>
  </si>
  <si>
    <t>F001-00037105</t>
  </si>
  <si>
    <t>F001-00037107</t>
  </si>
  <si>
    <t>F001-00037099</t>
  </si>
  <si>
    <t>F001-00037151</t>
  </si>
  <si>
    <t>F001-00037152</t>
  </si>
  <si>
    <t>F001-00037153</t>
  </si>
  <si>
    <t>F001-00037116</t>
  </si>
  <si>
    <t>ESPINAL MALAVER MARIA DAYSI</t>
  </si>
  <si>
    <t>F001-00037087</t>
  </si>
  <si>
    <t>F001-00037154</t>
  </si>
  <si>
    <t>F001-00037155</t>
  </si>
  <si>
    <t>F001-00037125</t>
  </si>
  <si>
    <t>F001-00037128</t>
  </si>
  <si>
    <t>F001-00037129</t>
  </si>
  <si>
    <t>F001-00037156</t>
  </si>
  <si>
    <t>F001-00037131</t>
  </si>
  <si>
    <t>F001-00037132</t>
  </si>
  <si>
    <t>estudiovydabogados@gmail.com; enrique.marquina@formavenaconsergen.com; estudiovydabogados@gmail.com</t>
  </si>
  <si>
    <t>F001-00037136</t>
  </si>
  <si>
    <t>F001-00036990</t>
  </si>
  <si>
    <t>F001-00037144</t>
  </si>
  <si>
    <t>F001-00037146</t>
  </si>
  <si>
    <t>facturacion@grupovanilu.com</t>
  </si>
  <si>
    <t>rakelita2309@hotmail.com</t>
  </si>
  <si>
    <t>glorifl@hotmail.com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</si>
</sst>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2" fillId="0" borderId="0" xfId="0" applyFont="1"/>
    <xf numFmtId="164" fontId="1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wrapText="1"/>
    </xf>
    <xf numFmtId="164" fontId="2" fillId="4" borderId="1" xfId="0" applyNumberFormat="1" applyFont="1" applyFill="1" applyBorder="1" applyAlignment="1">
      <alignment wrapText="1"/>
    </xf>
    <xf numFmtId="0" fontId="2" fillId="4" borderId="0" xfId="0" applyFont="1" applyFill="1"/>
    <xf numFmtId="164" fontId="2" fillId="4" borderId="0" xfId="0" applyNumberFormat="1" applyFont="1" applyFill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D549-6BD9-4566-86B2-4950053DB95E}">
  <dimension ref="A1:Q174"/>
  <sheetViews>
    <sheetView tabSelected="1" topLeftCell="A151" workbookViewId="0">
      <selection activeCell="L173" sqref="L173"/>
    </sheetView>
  </sheetViews>
  <sheetFormatPr baseColWidth="10" defaultColWidth="11.5546875" defaultRowHeight="10.199999999999999" customHeight="1" x14ac:dyDescent="0.2"/>
  <cols>
    <col min="1" max="11" width="11.5546875" style="9"/>
    <col min="12" max="12" width="11.5546875" style="10"/>
    <col min="13" max="16384" width="11.5546875" style="9"/>
  </cols>
  <sheetData>
    <row r="1" spans="1:17" s="2" customFormat="1" ht="10.19999999999999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22</v>
      </c>
      <c r="K1" s="6" t="s">
        <v>23</v>
      </c>
      <c r="L1" s="6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s="5" customFormat="1" ht="10.199999999999999" customHeight="1" x14ac:dyDescent="0.2">
      <c r="A2" s="3">
        <v>76477545</v>
      </c>
      <c r="B2" s="3" t="s">
        <v>15</v>
      </c>
      <c r="C2" s="3" t="s">
        <v>25</v>
      </c>
      <c r="D2" s="3" t="s">
        <v>16</v>
      </c>
      <c r="E2" s="3" t="s">
        <v>17</v>
      </c>
      <c r="F2" s="3">
        <v>20605901221</v>
      </c>
      <c r="G2" s="3" t="s">
        <v>35</v>
      </c>
      <c r="H2" s="3">
        <v>20605901221</v>
      </c>
      <c r="I2" s="4">
        <v>46023</v>
      </c>
      <c r="J2" s="7">
        <f>+L2/1.18</f>
        <v>56.016949152542374</v>
      </c>
      <c r="K2" s="7">
        <f>J2*0.18</f>
        <v>10.083050847457628</v>
      </c>
      <c r="L2" s="8">
        <v>66.099999999999994</v>
      </c>
      <c r="M2" s="3" t="s">
        <v>19</v>
      </c>
      <c r="N2" s="3" t="s">
        <v>31</v>
      </c>
      <c r="O2" s="3"/>
      <c r="P2" s="3" t="s">
        <v>126</v>
      </c>
      <c r="Q2" s="3" t="s">
        <v>127</v>
      </c>
    </row>
    <row r="3" spans="1:17" s="5" customFormat="1" ht="10.199999999999999" customHeight="1" x14ac:dyDescent="0.2">
      <c r="A3" s="3">
        <v>76500851</v>
      </c>
      <c r="B3" s="3" t="s">
        <v>258</v>
      </c>
      <c r="C3" s="3" t="s">
        <v>25</v>
      </c>
      <c r="D3" s="3" t="s">
        <v>29</v>
      </c>
      <c r="E3" s="3" t="s">
        <v>30</v>
      </c>
      <c r="F3" s="3">
        <v>20544489616</v>
      </c>
      <c r="G3" s="3" t="s">
        <v>36</v>
      </c>
      <c r="H3" s="3">
        <v>20544489616</v>
      </c>
      <c r="I3" s="4">
        <v>46024</v>
      </c>
      <c r="J3" s="7">
        <f t="shared" ref="J3:J65" si="0">+L3/1.18</f>
        <v>56.016949152542374</v>
      </c>
      <c r="K3" s="7">
        <f t="shared" ref="K3:K65" si="1">J3*0.18</f>
        <v>10.083050847457628</v>
      </c>
      <c r="L3" s="8">
        <v>66.099999999999994</v>
      </c>
      <c r="M3" s="3" t="s">
        <v>19</v>
      </c>
      <c r="N3" s="3">
        <v>202510</v>
      </c>
      <c r="O3" s="3"/>
      <c r="P3" s="3" t="s">
        <v>128</v>
      </c>
      <c r="Q3" s="3" t="s">
        <v>129</v>
      </c>
    </row>
    <row r="4" spans="1:17" s="5" customFormat="1" ht="10.199999999999999" customHeight="1" x14ac:dyDescent="0.2">
      <c r="A4" s="3">
        <v>76476629</v>
      </c>
      <c r="B4" s="3" t="s">
        <v>24</v>
      </c>
      <c r="C4" s="3" t="s">
        <v>25</v>
      </c>
      <c r="D4" s="3" t="s">
        <v>16</v>
      </c>
      <c r="E4" s="3" t="s">
        <v>17</v>
      </c>
      <c r="F4" s="3">
        <v>20602147160</v>
      </c>
      <c r="G4" s="3" t="s">
        <v>37</v>
      </c>
      <c r="H4" s="3">
        <v>20602147160</v>
      </c>
      <c r="I4" s="4">
        <v>46027</v>
      </c>
      <c r="J4" s="7">
        <f t="shared" si="0"/>
        <v>67.025423728813564</v>
      </c>
      <c r="K4" s="7">
        <f t="shared" si="1"/>
        <v>12.064576271186441</v>
      </c>
      <c r="L4" s="8">
        <v>79.09</v>
      </c>
      <c r="M4" s="3" t="s">
        <v>19</v>
      </c>
      <c r="N4" s="3">
        <v>202510</v>
      </c>
      <c r="O4" s="3"/>
      <c r="P4" s="3" t="s">
        <v>130</v>
      </c>
      <c r="Q4" s="3" t="s">
        <v>131</v>
      </c>
    </row>
    <row r="5" spans="1:17" s="5" customFormat="1" ht="10.199999999999999" customHeight="1" x14ac:dyDescent="0.2">
      <c r="A5" s="3">
        <v>76493243</v>
      </c>
      <c r="B5" s="3" t="s">
        <v>258</v>
      </c>
      <c r="C5" s="3" t="s">
        <v>25</v>
      </c>
      <c r="D5" s="3" t="s">
        <v>29</v>
      </c>
      <c r="E5" s="3" t="s">
        <v>30</v>
      </c>
      <c r="F5" s="3">
        <v>20110620676</v>
      </c>
      <c r="G5" s="3" t="s">
        <v>38</v>
      </c>
      <c r="H5" s="3">
        <v>20110620676</v>
      </c>
      <c r="I5" s="4">
        <v>46027</v>
      </c>
      <c r="J5" s="7">
        <f t="shared" si="0"/>
        <v>56.016949152542374</v>
      </c>
      <c r="K5" s="7">
        <f t="shared" si="1"/>
        <v>10.083050847457628</v>
      </c>
      <c r="L5" s="8">
        <v>66.099999999999994</v>
      </c>
      <c r="M5" s="3" t="s">
        <v>19</v>
      </c>
      <c r="N5" s="3">
        <v>202510</v>
      </c>
      <c r="O5" s="3"/>
      <c r="P5" s="3" t="s">
        <v>132</v>
      </c>
      <c r="Q5" s="3" t="s">
        <v>133</v>
      </c>
    </row>
    <row r="6" spans="1:17" s="5" customFormat="1" ht="10.199999999999999" customHeight="1" x14ac:dyDescent="0.2">
      <c r="A6" s="3">
        <v>76514002</v>
      </c>
      <c r="B6" s="3" t="s">
        <v>258</v>
      </c>
      <c r="C6" s="3" t="s">
        <v>25</v>
      </c>
      <c r="D6" s="3" t="s">
        <v>20</v>
      </c>
      <c r="E6" s="3" t="s">
        <v>21</v>
      </c>
      <c r="F6" s="3">
        <v>20515161091</v>
      </c>
      <c r="G6" s="3" t="s">
        <v>39</v>
      </c>
      <c r="H6" s="3">
        <v>20515161091</v>
      </c>
      <c r="I6" s="4">
        <v>46027</v>
      </c>
      <c r="J6" s="7">
        <f t="shared" si="0"/>
        <v>64.084745762711876</v>
      </c>
      <c r="K6" s="7">
        <f t="shared" si="1"/>
        <v>11.535254237288138</v>
      </c>
      <c r="L6" s="8">
        <v>75.62</v>
      </c>
      <c r="M6" s="3" t="s">
        <v>19</v>
      </c>
      <c r="N6" s="3">
        <v>200709</v>
      </c>
      <c r="O6" s="3"/>
      <c r="P6" s="3" t="s">
        <v>134</v>
      </c>
      <c r="Q6" s="3" t="s">
        <v>135</v>
      </c>
    </row>
    <row r="7" spans="1:17" s="5" customFormat="1" ht="10.199999999999999" customHeight="1" x14ac:dyDescent="0.2">
      <c r="A7" s="3">
        <v>76478985</v>
      </c>
      <c r="B7" s="3" t="s">
        <v>15</v>
      </c>
      <c r="C7" s="3" t="s">
        <v>25</v>
      </c>
      <c r="D7" s="3" t="s">
        <v>16</v>
      </c>
      <c r="E7" s="3" t="s">
        <v>17</v>
      </c>
      <c r="F7" s="3">
        <v>20612067873</v>
      </c>
      <c r="G7" s="3" t="s">
        <v>40</v>
      </c>
      <c r="H7" s="3">
        <v>20612067873</v>
      </c>
      <c r="I7" s="4">
        <v>46027</v>
      </c>
      <c r="J7" s="7">
        <f t="shared" si="0"/>
        <v>69.889830508474574</v>
      </c>
      <c r="K7" s="7">
        <f t="shared" si="1"/>
        <v>12.580169491525423</v>
      </c>
      <c r="L7" s="8">
        <v>82.47</v>
      </c>
      <c r="M7" s="3" t="s">
        <v>19</v>
      </c>
      <c r="N7" s="3">
        <v>202510</v>
      </c>
      <c r="O7" s="3"/>
      <c r="P7" s="3" t="s">
        <v>136</v>
      </c>
      <c r="Q7" s="3" t="s">
        <v>137</v>
      </c>
    </row>
    <row r="8" spans="1:17" s="5" customFormat="1" ht="10.199999999999999" customHeight="1" x14ac:dyDescent="0.2">
      <c r="A8" s="3">
        <v>76476169</v>
      </c>
      <c r="B8" s="3" t="s">
        <v>15</v>
      </c>
      <c r="C8" s="3" t="s">
        <v>25</v>
      </c>
      <c r="D8" s="3" t="s">
        <v>16</v>
      </c>
      <c r="E8" s="3" t="s">
        <v>17</v>
      </c>
      <c r="F8" s="3">
        <v>20600673310</v>
      </c>
      <c r="G8" s="3" t="s">
        <v>41</v>
      </c>
      <c r="H8" s="3">
        <v>20600673310</v>
      </c>
      <c r="I8" s="4">
        <v>46029</v>
      </c>
      <c r="J8" s="7">
        <f t="shared" si="0"/>
        <v>74.576271186440678</v>
      </c>
      <c r="K8" s="7">
        <f t="shared" si="1"/>
        <v>13.423728813559322</v>
      </c>
      <c r="L8" s="8">
        <v>88</v>
      </c>
      <c r="M8" s="3" t="s">
        <v>19</v>
      </c>
      <c r="N8" s="3">
        <v>202510</v>
      </c>
      <c r="O8" s="3"/>
      <c r="P8" s="3" t="s">
        <v>138</v>
      </c>
      <c r="Q8" s="3" t="s">
        <v>139</v>
      </c>
    </row>
    <row r="9" spans="1:17" s="5" customFormat="1" ht="10.199999999999999" customHeight="1" x14ac:dyDescent="0.2">
      <c r="A9" s="3">
        <v>76667745</v>
      </c>
      <c r="B9" s="3" t="s">
        <v>259</v>
      </c>
      <c r="C9" s="3" t="s">
        <v>42</v>
      </c>
      <c r="D9" s="3" t="s">
        <v>16</v>
      </c>
      <c r="E9" s="3" t="s">
        <v>17</v>
      </c>
      <c r="F9" s="3">
        <v>20529438843</v>
      </c>
      <c r="G9" s="3" t="s">
        <v>43</v>
      </c>
      <c r="H9" s="3">
        <v>20529438843</v>
      </c>
      <c r="I9" s="4">
        <v>46031</v>
      </c>
      <c r="J9" s="7">
        <f t="shared" si="0"/>
        <v>180.87288135593221</v>
      </c>
      <c r="K9" s="7">
        <f t="shared" si="1"/>
        <v>32.557118644067799</v>
      </c>
      <c r="L9" s="8">
        <v>213.43</v>
      </c>
      <c r="M9" s="3" t="s">
        <v>19</v>
      </c>
      <c r="N9" s="3" t="s">
        <v>140</v>
      </c>
      <c r="O9" s="3"/>
      <c r="P9" s="3"/>
      <c r="Q9" s="3" t="s">
        <v>141</v>
      </c>
    </row>
    <row r="10" spans="1:17" s="5" customFormat="1" ht="10.199999999999999" customHeight="1" x14ac:dyDescent="0.2">
      <c r="A10" s="3">
        <v>76666746</v>
      </c>
      <c r="B10" s="3" t="s">
        <v>24</v>
      </c>
      <c r="C10" s="3" t="s">
        <v>42</v>
      </c>
      <c r="D10" s="3" t="s">
        <v>16</v>
      </c>
      <c r="E10" s="3" t="s">
        <v>17</v>
      </c>
      <c r="F10" s="3">
        <v>20179523745</v>
      </c>
      <c r="G10" s="3" t="s">
        <v>44</v>
      </c>
      <c r="H10" s="3">
        <v>20179523745</v>
      </c>
      <c r="I10" s="4">
        <v>46031</v>
      </c>
      <c r="J10" s="7">
        <f t="shared" si="0"/>
        <v>110.16949152542374</v>
      </c>
      <c r="K10" s="7">
        <f t="shared" si="1"/>
        <v>19.830508474576273</v>
      </c>
      <c r="L10" s="8">
        <v>130</v>
      </c>
      <c r="M10" s="3" t="s">
        <v>19</v>
      </c>
      <c r="N10" s="3" t="s">
        <v>142</v>
      </c>
      <c r="O10" s="3"/>
      <c r="P10" s="3" t="s">
        <v>143</v>
      </c>
      <c r="Q10" s="3" t="s">
        <v>144</v>
      </c>
    </row>
    <row r="11" spans="1:17" s="5" customFormat="1" ht="10.199999999999999" customHeight="1" x14ac:dyDescent="0.2">
      <c r="A11" s="3">
        <v>76666613</v>
      </c>
      <c r="B11" s="3" t="s">
        <v>24</v>
      </c>
      <c r="C11" s="3" t="s">
        <v>42</v>
      </c>
      <c r="D11" s="3" t="s">
        <v>16</v>
      </c>
      <c r="E11" s="3" t="s">
        <v>17</v>
      </c>
      <c r="F11" s="3">
        <v>47002315</v>
      </c>
      <c r="G11" s="3" t="s">
        <v>45</v>
      </c>
      <c r="H11" s="3">
        <v>10470023151</v>
      </c>
      <c r="I11" s="4">
        <v>46034</v>
      </c>
      <c r="J11" s="7">
        <f t="shared" si="0"/>
        <v>102.8135593220339</v>
      </c>
      <c r="K11" s="7">
        <f t="shared" si="1"/>
        <v>18.506440677966101</v>
      </c>
      <c r="L11" s="8">
        <v>121.32</v>
      </c>
      <c r="M11" s="3" t="s">
        <v>19</v>
      </c>
      <c r="N11" s="3" t="s">
        <v>145</v>
      </c>
      <c r="O11" s="3"/>
      <c r="P11" s="3" t="s">
        <v>45</v>
      </c>
      <c r="Q11" s="3" t="s">
        <v>146</v>
      </c>
    </row>
    <row r="12" spans="1:17" s="5" customFormat="1" ht="10.199999999999999" customHeight="1" x14ac:dyDescent="0.2">
      <c r="A12" s="3">
        <v>76668331</v>
      </c>
      <c r="B12" s="3" t="s">
        <v>24</v>
      </c>
      <c r="C12" s="3" t="s">
        <v>42</v>
      </c>
      <c r="D12" s="3" t="s">
        <v>16</v>
      </c>
      <c r="E12" s="3" t="s">
        <v>17</v>
      </c>
      <c r="F12" s="3">
        <v>20557377892</v>
      </c>
      <c r="G12" s="3" t="s">
        <v>46</v>
      </c>
      <c r="H12" s="3">
        <v>20557377892</v>
      </c>
      <c r="I12" s="4">
        <v>46034</v>
      </c>
      <c r="J12" s="7">
        <f t="shared" si="0"/>
        <v>56.016949152542374</v>
      </c>
      <c r="K12" s="7">
        <f t="shared" si="1"/>
        <v>10.083050847457628</v>
      </c>
      <c r="L12" s="8">
        <v>66.099999999999994</v>
      </c>
      <c r="M12" s="3" t="s">
        <v>19</v>
      </c>
      <c r="N12" s="3" t="s">
        <v>142</v>
      </c>
      <c r="O12" s="3"/>
      <c r="P12" s="3" t="s">
        <v>147</v>
      </c>
      <c r="Q12" s="3" t="s">
        <v>148</v>
      </c>
    </row>
    <row r="13" spans="1:17" s="5" customFormat="1" ht="10.199999999999999" customHeight="1" x14ac:dyDescent="0.2">
      <c r="A13" s="3">
        <v>76496120</v>
      </c>
      <c r="B13" s="3" t="s">
        <v>258</v>
      </c>
      <c r="C13" s="3" t="s">
        <v>25</v>
      </c>
      <c r="D13" s="3" t="s">
        <v>29</v>
      </c>
      <c r="E13" s="3" t="s">
        <v>30</v>
      </c>
      <c r="F13" s="3">
        <v>20470389363</v>
      </c>
      <c r="G13" s="3" t="s">
        <v>47</v>
      </c>
      <c r="H13" s="3">
        <v>20470389363</v>
      </c>
      <c r="I13" s="4">
        <v>46034</v>
      </c>
      <c r="J13" s="7">
        <f t="shared" si="0"/>
        <v>189.18644067796612</v>
      </c>
      <c r="K13" s="7">
        <f t="shared" si="1"/>
        <v>34.053559322033898</v>
      </c>
      <c r="L13" s="8">
        <v>223.24</v>
      </c>
      <c r="M13" s="3" t="s">
        <v>33</v>
      </c>
      <c r="N13" s="3"/>
      <c r="O13" s="3"/>
      <c r="P13" s="3" t="s">
        <v>149</v>
      </c>
      <c r="Q13" s="3" t="s">
        <v>150</v>
      </c>
    </row>
    <row r="14" spans="1:17" s="5" customFormat="1" ht="10.199999999999999" customHeight="1" x14ac:dyDescent="0.2">
      <c r="A14" s="3">
        <v>76666634</v>
      </c>
      <c r="B14" s="3" t="s">
        <v>15</v>
      </c>
      <c r="C14" s="3" t="s">
        <v>42</v>
      </c>
      <c r="D14" s="3" t="s">
        <v>16</v>
      </c>
      <c r="E14" s="3" t="s">
        <v>17</v>
      </c>
      <c r="F14" s="3">
        <v>70353217</v>
      </c>
      <c r="G14" s="3" t="s">
        <v>48</v>
      </c>
      <c r="H14" s="3">
        <v>10703532174</v>
      </c>
      <c r="I14" s="4">
        <v>46034</v>
      </c>
      <c r="J14" s="7">
        <f t="shared" si="0"/>
        <v>56.016949152542374</v>
      </c>
      <c r="K14" s="7">
        <f t="shared" si="1"/>
        <v>10.083050847457628</v>
      </c>
      <c r="L14" s="8">
        <v>66.099999999999994</v>
      </c>
      <c r="M14" s="3" t="s">
        <v>19</v>
      </c>
      <c r="N14" s="3">
        <v>202511</v>
      </c>
      <c r="O14" s="3"/>
      <c r="P14" s="3" t="s">
        <v>48</v>
      </c>
      <c r="Q14" s="3" t="s">
        <v>151</v>
      </c>
    </row>
    <row r="15" spans="1:17" s="5" customFormat="1" ht="10.199999999999999" customHeight="1" x14ac:dyDescent="0.2">
      <c r="A15" s="3">
        <v>76670444</v>
      </c>
      <c r="B15" s="3" t="s">
        <v>24</v>
      </c>
      <c r="C15" s="3" t="s">
        <v>42</v>
      </c>
      <c r="D15" s="3" t="s">
        <v>16</v>
      </c>
      <c r="E15" s="3" t="s">
        <v>17</v>
      </c>
      <c r="F15" s="3">
        <v>20607538809</v>
      </c>
      <c r="G15" s="3" t="s">
        <v>49</v>
      </c>
      <c r="H15" s="3">
        <v>20607538809</v>
      </c>
      <c r="I15" s="4">
        <v>46034</v>
      </c>
      <c r="J15" s="7">
        <f t="shared" si="0"/>
        <v>56.016949152542374</v>
      </c>
      <c r="K15" s="7">
        <f t="shared" si="1"/>
        <v>10.083050847457628</v>
      </c>
      <c r="L15" s="8">
        <v>66.099999999999994</v>
      </c>
      <c r="M15" s="3" t="s">
        <v>19</v>
      </c>
      <c r="N15" s="3">
        <v>202511</v>
      </c>
      <c r="O15" s="3"/>
      <c r="P15" s="3" t="s">
        <v>152</v>
      </c>
      <c r="Q15" s="3" t="s">
        <v>153</v>
      </c>
    </row>
    <row r="16" spans="1:17" s="5" customFormat="1" ht="10.199999999999999" customHeight="1" x14ac:dyDescent="0.2">
      <c r="A16" s="3">
        <v>76671371</v>
      </c>
      <c r="B16" s="3" t="s">
        <v>15</v>
      </c>
      <c r="C16" s="3" t="s">
        <v>42</v>
      </c>
      <c r="D16" s="3" t="s">
        <v>16</v>
      </c>
      <c r="E16" s="3" t="s">
        <v>17</v>
      </c>
      <c r="F16" s="3">
        <v>20611154322</v>
      </c>
      <c r="G16" s="3" t="s">
        <v>50</v>
      </c>
      <c r="H16" s="3">
        <v>20611154322</v>
      </c>
      <c r="I16" s="4">
        <v>46035</v>
      </c>
      <c r="J16" s="7">
        <f t="shared" si="0"/>
        <v>69.491525423728817</v>
      </c>
      <c r="K16" s="7">
        <f t="shared" si="1"/>
        <v>12.508474576271187</v>
      </c>
      <c r="L16" s="8">
        <v>82</v>
      </c>
      <c r="M16" s="3" t="s">
        <v>19</v>
      </c>
      <c r="N16" s="3">
        <v>202511</v>
      </c>
      <c r="O16" s="3"/>
      <c r="P16" s="3" t="s">
        <v>154</v>
      </c>
      <c r="Q16" s="3" t="s">
        <v>155</v>
      </c>
    </row>
    <row r="17" spans="1:17" s="5" customFormat="1" ht="10.199999999999999" customHeight="1" x14ac:dyDescent="0.2">
      <c r="A17" s="3">
        <v>76668067</v>
      </c>
      <c r="B17" s="3" t="s">
        <v>15</v>
      </c>
      <c r="C17" s="3" t="s">
        <v>42</v>
      </c>
      <c r="D17" s="3" t="s">
        <v>16</v>
      </c>
      <c r="E17" s="3" t="s">
        <v>17</v>
      </c>
      <c r="F17" s="3">
        <v>20547121628</v>
      </c>
      <c r="G17" s="3" t="s">
        <v>51</v>
      </c>
      <c r="H17" s="3">
        <v>20547121628</v>
      </c>
      <c r="I17" s="4">
        <v>46035</v>
      </c>
      <c r="J17" s="7">
        <f t="shared" si="0"/>
        <v>148.18644067796612</v>
      </c>
      <c r="K17" s="7">
        <f t="shared" si="1"/>
        <v>26.673559322033899</v>
      </c>
      <c r="L17" s="8">
        <v>174.86</v>
      </c>
      <c r="M17" s="3" t="s">
        <v>19</v>
      </c>
      <c r="N17" s="3">
        <v>202511</v>
      </c>
      <c r="O17" s="3"/>
      <c r="P17" s="3" t="s">
        <v>156</v>
      </c>
      <c r="Q17" s="3" t="s">
        <v>157</v>
      </c>
    </row>
    <row r="18" spans="1:17" s="5" customFormat="1" ht="10.199999999999999" customHeight="1" x14ac:dyDescent="0.2">
      <c r="A18" s="3">
        <v>76666258</v>
      </c>
      <c r="B18" s="3" t="s">
        <v>24</v>
      </c>
      <c r="C18" s="3" t="s">
        <v>42</v>
      </c>
      <c r="D18" s="3" t="s">
        <v>16</v>
      </c>
      <c r="E18" s="3" t="s">
        <v>17</v>
      </c>
      <c r="F18" s="3">
        <v>6919452</v>
      </c>
      <c r="G18" s="3" t="s">
        <v>52</v>
      </c>
      <c r="H18" s="3">
        <v>10069194520</v>
      </c>
      <c r="I18" s="4">
        <v>46035</v>
      </c>
      <c r="J18" s="7">
        <f t="shared" si="0"/>
        <v>62.076271186440678</v>
      </c>
      <c r="K18" s="7">
        <f t="shared" si="1"/>
        <v>11.173728813559322</v>
      </c>
      <c r="L18" s="8">
        <v>73.25</v>
      </c>
      <c r="M18" s="3" t="s">
        <v>18</v>
      </c>
      <c r="N18" s="3" t="s">
        <v>34</v>
      </c>
      <c r="O18" s="3" t="s">
        <v>158</v>
      </c>
      <c r="P18" s="3"/>
      <c r="Q18" s="3" t="s">
        <v>159</v>
      </c>
    </row>
    <row r="19" spans="1:17" s="5" customFormat="1" ht="10.199999999999999" customHeight="1" x14ac:dyDescent="0.2">
      <c r="A19" s="3">
        <v>76670897</v>
      </c>
      <c r="B19" s="3" t="s">
        <v>15</v>
      </c>
      <c r="C19" s="3" t="s">
        <v>42</v>
      </c>
      <c r="D19" s="3" t="s">
        <v>16</v>
      </c>
      <c r="E19" s="3" t="s">
        <v>17</v>
      </c>
      <c r="F19" s="3">
        <v>20609420031</v>
      </c>
      <c r="G19" s="3" t="s">
        <v>53</v>
      </c>
      <c r="H19" s="3">
        <v>20609420031</v>
      </c>
      <c r="I19" s="4">
        <v>46035</v>
      </c>
      <c r="J19" s="7">
        <f t="shared" si="0"/>
        <v>56.016949152542374</v>
      </c>
      <c r="K19" s="7">
        <f t="shared" si="1"/>
        <v>10.083050847457628</v>
      </c>
      <c r="L19" s="8">
        <v>66.099999999999994</v>
      </c>
      <c r="M19" s="3" t="s">
        <v>19</v>
      </c>
      <c r="N19" s="3" t="s">
        <v>142</v>
      </c>
      <c r="O19" s="3"/>
      <c r="P19" s="3" t="s">
        <v>160</v>
      </c>
      <c r="Q19" s="3" t="s">
        <v>161</v>
      </c>
    </row>
    <row r="20" spans="1:17" s="5" customFormat="1" ht="10.199999999999999" customHeight="1" x14ac:dyDescent="0.2">
      <c r="A20" s="3">
        <v>76671088</v>
      </c>
      <c r="B20" s="3" t="s">
        <v>24</v>
      </c>
      <c r="C20" s="3" t="s">
        <v>42</v>
      </c>
      <c r="D20" s="3" t="s">
        <v>16</v>
      </c>
      <c r="E20" s="3" t="s">
        <v>17</v>
      </c>
      <c r="F20" s="3">
        <v>20610053689</v>
      </c>
      <c r="G20" s="3" t="s">
        <v>54</v>
      </c>
      <c r="H20" s="3">
        <v>20610053689</v>
      </c>
      <c r="I20" s="4">
        <v>46035</v>
      </c>
      <c r="J20" s="7">
        <f t="shared" si="0"/>
        <v>56.016949152542374</v>
      </c>
      <c r="K20" s="7">
        <f t="shared" si="1"/>
        <v>10.083050847457628</v>
      </c>
      <c r="L20" s="8">
        <v>66.099999999999994</v>
      </c>
      <c r="M20" s="3" t="s">
        <v>19</v>
      </c>
      <c r="N20" s="3">
        <v>202511</v>
      </c>
      <c r="O20" s="3"/>
      <c r="P20" s="3" t="s">
        <v>162</v>
      </c>
      <c r="Q20" s="3" t="s">
        <v>163</v>
      </c>
    </row>
    <row r="21" spans="1:17" s="5" customFormat="1" ht="10.199999999999999" customHeight="1" x14ac:dyDescent="0.2">
      <c r="A21" s="3">
        <v>76670806</v>
      </c>
      <c r="B21" s="3" t="s">
        <v>15</v>
      </c>
      <c r="C21" s="3" t="s">
        <v>42</v>
      </c>
      <c r="D21" s="3" t="s">
        <v>16</v>
      </c>
      <c r="E21" s="3" t="s">
        <v>17</v>
      </c>
      <c r="F21" s="3">
        <v>20609059541</v>
      </c>
      <c r="G21" s="3" t="s">
        <v>55</v>
      </c>
      <c r="H21" s="3">
        <v>20609059541</v>
      </c>
      <c r="I21" s="4">
        <v>46035</v>
      </c>
      <c r="J21" s="7">
        <f t="shared" si="0"/>
        <v>71.186440677966104</v>
      </c>
      <c r="K21" s="7">
        <f t="shared" si="1"/>
        <v>12.813559322033898</v>
      </c>
      <c r="L21" s="8">
        <v>84</v>
      </c>
      <c r="M21" s="3" t="s">
        <v>19</v>
      </c>
      <c r="N21" s="3">
        <v>202511</v>
      </c>
      <c r="O21" s="3"/>
      <c r="P21" s="3" t="s">
        <v>164</v>
      </c>
      <c r="Q21" s="3" t="s">
        <v>165</v>
      </c>
    </row>
    <row r="22" spans="1:17" s="5" customFormat="1" ht="10.199999999999999" customHeight="1" x14ac:dyDescent="0.2">
      <c r="A22" s="3">
        <v>76668565</v>
      </c>
      <c r="B22" s="3" t="s">
        <v>15</v>
      </c>
      <c r="C22" s="3" t="s">
        <v>42</v>
      </c>
      <c r="D22" s="3" t="s">
        <v>16</v>
      </c>
      <c r="E22" s="3" t="s">
        <v>17</v>
      </c>
      <c r="F22" s="3">
        <v>20600068106</v>
      </c>
      <c r="G22" s="3" t="s">
        <v>56</v>
      </c>
      <c r="H22" s="3">
        <v>20600068106</v>
      </c>
      <c r="I22" s="4">
        <v>46035</v>
      </c>
      <c r="J22" s="7">
        <f t="shared" si="0"/>
        <v>66.576271186440678</v>
      </c>
      <c r="K22" s="7">
        <f t="shared" si="1"/>
        <v>11.983728813559322</v>
      </c>
      <c r="L22" s="8">
        <v>78.56</v>
      </c>
      <c r="M22" s="3" t="s">
        <v>19</v>
      </c>
      <c r="N22" s="3">
        <v>202511</v>
      </c>
      <c r="O22" s="3"/>
      <c r="P22" s="3"/>
      <c r="Q22" s="3" t="s">
        <v>166</v>
      </c>
    </row>
    <row r="23" spans="1:17" s="5" customFormat="1" ht="10.199999999999999" customHeight="1" x14ac:dyDescent="0.2">
      <c r="A23" s="3">
        <v>76667407</v>
      </c>
      <c r="B23" s="3" t="s">
        <v>24</v>
      </c>
      <c r="C23" s="3" t="s">
        <v>42</v>
      </c>
      <c r="D23" s="3" t="s">
        <v>16</v>
      </c>
      <c r="E23" s="3" t="s">
        <v>17</v>
      </c>
      <c r="F23" s="3">
        <v>20509133175</v>
      </c>
      <c r="G23" s="3" t="s">
        <v>57</v>
      </c>
      <c r="H23" s="3">
        <v>20509133175</v>
      </c>
      <c r="I23" s="4">
        <v>46035</v>
      </c>
      <c r="J23" s="7">
        <f t="shared" si="0"/>
        <v>57.711864406779661</v>
      </c>
      <c r="K23" s="7">
        <f t="shared" si="1"/>
        <v>10.388135593220339</v>
      </c>
      <c r="L23" s="8">
        <v>68.099999999999994</v>
      </c>
      <c r="M23" s="3" t="s">
        <v>18</v>
      </c>
      <c r="N23" s="3" t="s">
        <v>167</v>
      </c>
      <c r="O23" s="3" t="s">
        <v>168</v>
      </c>
      <c r="P23" s="3"/>
      <c r="Q23" s="3" t="s">
        <v>169</v>
      </c>
    </row>
    <row r="24" spans="1:17" s="5" customFormat="1" ht="10.199999999999999" customHeight="1" x14ac:dyDescent="0.2">
      <c r="A24" s="3">
        <v>76666224</v>
      </c>
      <c r="B24" s="3" t="s">
        <v>15</v>
      </c>
      <c r="C24" s="3" t="s">
        <v>42</v>
      </c>
      <c r="D24" s="3" t="s">
        <v>16</v>
      </c>
      <c r="E24" s="3" t="s">
        <v>17</v>
      </c>
      <c r="F24" s="3">
        <v>425587</v>
      </c>
      <c r="G24" s="3" t="s">
        <v>58</v>
      </c>
      <c r="H24" s="3">
        <v>10004255874</v>
      </c>
      <c r="I24" s="4">
        <v>46035</v>
      </c>
      <c r="J24" s="7">
        <f t="shared" si="0"/>
        <v>68.644067796610173</v>
      </c>
      <c r="K24" s="7">
        <f t="shared" si="1"/>
        <v>12.35593220338983</v>
      </c>
      <c r="L24" s="8">
        <v>81</v>
      </c>
      <c r="M24" s="3" t="s">
        <v>19</v>
      </c>
      <c r="N24" s="3">
        <v>202511</v>
      </c>
      <c r="O24" s="3"/>
      <c r="P24" s="3" t="s">
        <v>170</v>
      </c>
      <c r="Q24" s="3" t="s">
        <v>171</v>
      </c>
    </row>
    <row r="25" spans="1:17" s="5" customFormat="1" ht="10.199999999999999" customHeight="1" x14ac:dyDescent="0.2">
      <c r="A25" s="3">
        <v>76670589</v>
      </c>
      <c r="B25" s="3" t="s">
        <v>15</v>
      </c>
      <c r="C25" s="3" t="s">
        <v>42</v>
      </c>
      <c r="D25" s="3" t="s">
        <v>16</v>
      </c>
      <c r="E25" s="3" t="s">
        <v>17</v>
      </c>
      <c r="F25" s="3">
        <v>20608181262</v>
      </c>
      <c r="G25" s="3" t="s">
        <v>59</v>
      </c>
      <c r="H25" s="3">
        <v>20608181262</v>
      </c>
      <c r="I25" s="4">
        <v>46036</v>
      </c>
      <c r="J25" s="7">
        <f t="shared" si="0"/>
        <v>57.872881355932215</v>
      </c>
      <c r="K25" s="7">
        <f t="shared" si="1"/>
        <v>10.417118644067799</v>
      </c>
      <c r="L25" s="8">
        <v>68.290000000000006</v>
      </c>
      <c r="M25" s="3" t="s">
        <v>19</v>
      </c>
      <c r="N25" s="3" t="s">
        <v>167</v>
      </c>
      <c r="O25" s="3"/>
      <c r="P25" s="3" t="s">
        <v>172</v>
      </c>
      <c r="Q25" s="3" t="s">
        <v>173</v>
      </c>
    </row>
    <row r="26" spans="1:17" s="5" customFormat="1" ht="10.199999999999999" customHeight="1" x14ac:dyDescent="0.2">
      <c r="A26" s="3">
        <v>76669642</v>
      </c>
      <c r="B26" s="3" t="s">
        <v>15</v>
      </c>
      <c r="C26" s="3" t="s">
        <v>42</v>
      </c>
      <c r="D26" s="3" t="s">
        <v>16</v>
      </c>
      <c r="E26" s="3" t="s">
        <v>17</v>
      </c>
      <c r="F26" s="3">
        <v>20603833580</v>
      </c>
      <c r="G26" s="3" t="s">
        <v>60</v>
      </c>
      <c r="H26" s="3">
        <v>20603833580</v>
      </c>
      <c r="I26" s="4">
        <v>46035</v>
      </c>
      <c r="J26" s="7">
        <f t="shared" si="0"/>
        <v>85.364406779661024</v>
      </c>
      <c r="K26" s="7">
        <f t="shared" si="1"/>
        <v>15.365593220338983</v>
      </c>
      <c r="L26" s="8">
        <v>100.73</v>
      </c>
      <c r="M26" s="3" t="s">
        <v>19</v>
      </c>
      <c r="N26" s="3">
        <v>202511</v>
      </c>
      <c r="O26" s="3"/>
      <c r="P26" s="3" t="s">
        <v>174</v>
      </c>
      <c r="Q26" s="3" t="s">
        <v>175</v>
      </c>
    </row>
    <row r="27" spans="1:17" s="5" customFormat="1" ht="10.199999999999999" customHeight="1" x14ac:dyDescent="0.2">
      <c r="A27" s="3">
        <v>76669733</v>
      </c>
      <c r="B27" s="3" t="s">
        <v>61</v>
      </c>
      <c r="C27" s="3" t="s">
        <v>42</v>
      </c>
      <c r="D27" s="3" t="s">
        <v>16</v>
      </c>
      <c r="E27" s="3" t="s">
        <v>17</v>
      </c>
      <c r="F27" s="3">
        <v>20604283702</v>
      </c>
      <c r="G27" s="3" t="s">
        <v>62</v>
      </c>
      <c r="H27" s="3">
        <v>20604283702</v>
      </c>
      <c r="I27" s="4">
        <v>46036</v>
      </c>
      <c r="J27" s="7">
        <f t="shared" si="0"/>
        <v>56.016949152542374</v>
      </c>
      <c r="K27" s="7">
        <f t="shared" si="1"/>
        <v>10.083050847457628</v>
      </c>
      <c r="L27" s="8">
        <v>66.099999999999994</v>
      </c>
      <c r="M27" s="3" t="s">
        <v>19</v>
      </c>
      <c r="N27" s="3" t="s">
        <v>167</v>
      </c>
      <c r="O27" s="3"/>
      <c r="P27" s="3" t="s">
        <v>176</v>
      </c>
      <c r="Q27" s="3" t="s">
        <v>177</v>
      </c>
    </row>
    <row r="28" spans="1:17" s="5" customFormat="1" ht="10.199999999999999" customHeight="1" x14ac:dyDescent="0.2">
      <c r="A28" s="3">
        <v>76666619</v>
      </c>
      <c r="B28" s="3" t="s">
        <v>15</v>
      </c>
      <c r="C28" s="3" t="s">
        <v>42</v>
      </c>
      <c r="D28" s="3" t="s">
        <v>16</v>
      </c>
      <c r="E28" s="3" t="s">
        <v>17</v>
      </c>
      <c r="F28" s="3">
        <v>47632765</v>
      </c>
      <c r="G28" s="3" t="s">
        <v>63</v>
      </c>
      <c r="H28" s="3">
        <v>10476327658</v>
      </c>
      <c r="I28" s="4">
        <v>46035</v>
      </c>
      <c r="J28" s="7">
        <f t="shared" si="0"/>
        <v>67.516949152542381</v>
      </c>
      <c r="K28" s="7">
        <f t="shared" si="1"/>
        <v>12.153050847457628</v>
      </c>
      <c r="L28" s="8">
        <v>79.67</v>
      </c>
      <c r="M28" s="3" t="s">
        <v>19</v>
      </c>
      <c r="N28" s="3">
        <v>202511</v>
      </c>
      <c r="O28" s="3"/>
      <c r="P28" s="3" t="s">
        <v>178</v>
      </c>
      <c r="Q28" s="3" t="s">
        <v>179</v>
      </c>
    </row>
    <row r="29" spans="1:17" s="5" customFormat="1" ht="10.199999999999999" customHeight="1" x14ac:dyDescent="0.2">
      <c r="A29" s="3">
        <v>76667518</v>
      </c>
      <c r="B29" s="3" t="s">
        <v>15</v>
      </c>
      <c r="C29" s="3" t="s">
        <v>42</v>
      </c>
      <c r="D29" s="3" t="s">
        <v>16</v>
      </c>
      <c r="E29" s="3" t="s">
        <v>17</v>
      </c>
      <c r="F29" s="3">
        <v>20515240552</v>
      </c>
      <c r="G29" s="3" t="s">
        <v>64</v>
      </c>
      <c r="H29" s="3">
        <v>20515240552</v>
      </c>
      <c r="I29" s="4">
        <v>46036</v>
      </c>
      <c r="J29" s="7">
        <f t="shared" si="0"/>
        <v>144.91525423728814</v>
      </c>
      <c r="K29" s="7">
        <f t="shared" si="1"/>
        <v>26.084745762711865</v>
      </c>
      <c r="L29" s="8">
        <v>171</v>
      </c>
      <c r="M29" s="3" t="s">
        <v>19</v>
      </c>
      <c r="N29" s="3">
        <v>202511</v>
      </c>
      <c r="O29" s="3"/>
      <c r="P29" s="3" t="s">
        <v>180</v>
      </c>
      <c r="Q29" s="3" t="s">
        <v>181</v>
      </c>
    </row>
    <row r="30" spans="1:17" s="5" customFormat="1" ht="10.199999999999999" customHeight="1" x14ac:dyDescent="0.2">
      <c r="A30" s="3">
        <v>76669961</v>
      </c>
      <c r="B30" s="3" t="s">
        <v>24</v>
      </c>
      <c r="C30" s="3" t="s">
        <v>42</v>
      </c>
      <c r="D30" s="3" t="s">
        <v>16</v>
      </c>
      <c r="E30" s="3" t="s">
        <v>17</v>
      </c>
      <c r="F30" s="3">
        <v>20605343971</v>
      </c>
      <c r="G30" s="3" t="s">
        <v>65</v>
      </c>
      <c r="H30" s="3">
        <v>20605343971</v>
      </c>
      <c r="I30" s="4">
        <v>46036</v>
      </c>
      <c r="J30" s="7">
        <f t="shared" si="0"/>
        <v>56.016949152542374</v>
      </c>
      <c r="K30" s="7">
        <f t="shared" si="1"/>
        <v>10.083050847457628</v>
      </c>
      <c r="L30" s="8">
        <v>66.099999999999994</v>
      </c>
      <c r="M30" s="3" t="s">
        <v>19</v>
      </c>
      <c r="N30" s="3">
        <v>202511</v>
      </c>
      <c r="O30" s="3"/>
      <c r="P30" s="3" t="s">
        <v>182</v>
      </c>
      <c r="Q30" s="3" t="s">
        <v>183</v>
      </c>
    </row>
    <row r="31" spans="1:17" s="5" customFormat="1" ht="10.199999999999999" customHeight="1" x14ac:dyDescent="0.2">
      <c r="A31" s="3">
        <v>76676455</v>
      </c>
      <c r="B31" s="3" t="s">
        <v>258</v>
      </c>
      <c r="C31" s="3" t="s">
        <v>42</v>
      </c>
      <c r="D31" s="3" t="s">
        <v>20</v>
      </c>
      <c r="E31" s="3" t="s">
        <v>21</v>
      </c>
      <c r="F31" s="3">
        <v>20498791728</v>
      </c>
      <c r="G31" s="3" t="s">
        <v>66</v>
      </c>
      <c r="H31" s="3">
        <v>20498791728</v>
      </c>
      <c r="I31" s="4">
        <v>46036</v>
      </c>
      <c r="J31" s="7">
        <f t="shared" si="0"/>
        <v>556.40677966101691</v>
      </c>
      <c r="K31" s="7">
        <f t="shared" si="1"/>
        <v>100.15322033898305</v>
      </c>
      <c r="L31" s="8">
        <v>656.56</v>
      </c>
      <c r="M31" s="3" t="s">
        <v>19</v>
      </c>
      <c r="N31" s="3" t="s">
        <v>483</v>
      </c>
      <c r="O31" s="3"/>
      <c r="P31" s="3"/>
      <c r="Q31" s="3" t="s">
        <v>184</v>
      </c>
    </row>
    <row r="32" spans="1:17" s="5" customFormat="1" ht="10.199999999999999" customHeight="1" x14ac:dyDescent="0.2">
      <c r="A32" s="3">
        <v>76667683</v>
      </c>
      <c r="B32" s="3" t="s">
        <v>15</v>
      </c>
      <c r="C32" s="3" t="s">
        <v>42</v>
      </c>
      <c r="D32" s="3" t="s">
        <v>16</v>
      </c>
      <c r="E32" s="3" t="s">
        <v>17</v>
      </c>
      <c r="F32" s="3">
        <v>20524866456</v>
      </c>
      <c r="G32" s="3" t="s">
        <v>67</v>
      </c>
      <c r="H32" s="3">
        <v>20524866456</v>
      </c>
      <c r="I32" s="4">
        <v>46036</v>
      </c>
      <c r="J32" s="7">
        <f t="shared" si="0"/>
        <v>79.889830508474574</v>
      </c>
      <c r="K32" s="7">
        <f t="shared" si="1"/>
        <v>14.380169491525423</v>
      </c>
      <c r="L32" s="8">
        <v>94.27</v>
      </c>
      <c r="M32" s="3" t="s">
        <v>18</v>
      </c>
      <c r="N32" s="3" t="s">
        <v>185</v>
      </c>
      <c r="O32" s="3" t="s">
        <v>186</v>
      </c>
      <c r="P32" s="3"/>
      <c r="Q32" s="3" t="s">
        <v>187</v>
      </c>
    </row>
    <row r="33" spans="1:17" s="5" customFormat="1" ht="10.199999999999999" customHeight="1" x14ac:dyDescent="0.2">
      <c r="A33" s="3">
        <v>76670603</v>
      </c>
      <c r="B33" s="3" t="s">
        <v>15</v>
      </c>
      <c r="C33" s="3" t="s">
        <v>42</v>
      </c>
      <c r="D33" s="3" t="s">
        <v>16</v>
      </c>
      <c r="E33" s="3" t="s">
        <v>17</v>
      </c>
      <c r="F33" s="3">
        <v>20608239406</v>
      </c>
      <c r="G33" s="3" t="s">
        <v>68</v>
      </c>
      <c r="H33" s="3">
        <v>20608239406</v>
      </c>
      <c r="I33" s="4">
        <v>46037</v>
      </c>
      <c r="J33" s="7">
        <f t="shared" si="0"/>
        <v>56.016949152542374</v>
      </c>
      <c r="K33" s="7">
        <f t="shared" si="1"/>
        <v>10.083050847457628</v>
      </c>
      <c r="L33" s="8">
        <v>66.099999999999994</v>
      </c>
      <c r="M33" s="3" t="s">
        <v>19</v>
      </c>
      <c r="N33" s="3">
        <v>202511</v>
      </c>
      <c r="O33" s="3"/>
      <c r="P33" s="3" t="s">
        <v>188</v>
      </c>
      <c r="Q33" s="3" t="s">
        <v>189</v>
      </c>
    </row>
    <row r="34" spans="1:17" s="5" customFormat="1" ht="10.199999999999999" customHeight="1" x14ac:dyDescent="0.2">
      <c r="A34" s="3">
        <v>76671930</v>
      </c>
      <c r="B34" s="3" t="s">
        <v>24</v>
      </c>
      <c r="C34" s="3" t="s">
        <v>42</v>
      </c>
      <c r="D34" s="3" t="s">
        <v>16</v>
      </c>
      <c r="E34" s="3" t="s">
        <v>17</v>
      </c>
      <c r="F34" s="3">
        <v>20613353659</v>
      </c>
      <c r="G34" s="3" t="s">
        <v>69</v>
      </c>
      <c r="H34" s="3">
        <v>20613353659</v>
      </c>
      <c r="I34" s="4">
        <v>46036</v>
      </c>
      <c r="J34" s="7">
        <f t="shared" si="0"/>
        <v>56.016949152542374</v>
      </c>
      <c r="K34" s="7">
        <f t="shared" si="1"/>
        <v>10.083050847457628</v>
      </c>
      <c r="L34" s="8">
        <v>66.099999999999994</v>
      </c>
      <c r="M34" s="3" t="s">
        <v>19</v>
      </c>
      <c r="N34" s="3">
        <v>202511</v>
      </c>
      <c r="O34" s="3"/>
      <c r="P34" s="3" t="s">
        <v>190</v>
      </c>
      <c r="Q34" s="3" t="s">
        <v>191</v>
      </c>
    </row>
    <row r="35" spans="1:17" s="5" customFormat="1" ht="10.199999999999999" customHeight="1" x14ac:dyDescent="0.2">
      <c r="A35" s="3">
        <v>76676857</v>
      </c>
      <c r="B35" s="3" t="s">
        <v>258</v>
      </c>
      <c r="C35" s="3" t="s">
        <v>42</v>
      </c>
      <c r="D35" s="3" t="s">
        <v>20</v>
      </c>
      <c r="E35" s="3" t="s">
        <v>21</v>
      </c>
      <c r="F35" s="3">
        <v>20509470848</v>
      </c>
      <c r="G35" s="3" t="s">
        <v>28</v>
      </c>
      <c r="H35" s="3">
        <v>20509470848</v>
      </c>
      <c r="I35" s="4">
        <v>46037</v>
      </c>
      <c r="J35" s="7">
        <f t="shared" si="0"/>
        <v>639.83050847457628</v>
      </c>
      <c r="K35" s="7">
        <f t="shared" si="1"/>
        <v>115.16949152542372</v>
      </c>
      <c r="L35" s="8">
        <v>755</v>
      </c>
      <c r="M35" s="3" t="s">
        <v>19</v>
      </c>
      <c r="N35" s="3" t="s">
        <v>484</v>
      </c>
      <c r="O35" s="3"/>
      <c r="P35" s="3"/>
      <c r="Q35" s="3" t="s">
        <v>192</v>
      </c>
    </row>
    <row r="36" spans="1:17" s="5" customFormat="1" ht="10.199999999999999" customHeight="1" x14ac:dyDescent="0.2">
      <c r="A36" s="3">
        <v>76671905</v>
      </c>
      <c r="B36" s="3" t="s">
        <v>15</v>
      </c>
      <c r="C36" s="3" t="s">
        <v>42</v>
      </c>
      <c r="D36" s="3" t="s">
        <v>16</v>
      </c>
      <c r="E36" s="3" t="s">
        <v>17</v>
      </c>
      <c r="F36" s="3">
        <v>20613234595</v>
      </c>
      <c r="G36" s="3" t="s">
        <v>70</v>
      </c>
      <c r="H36" s="3">
        <v>20613234595</v>
      </c>
      <c r="I36" s="4">
        <v>46037</v>
      </c>
      <c r="J36" s="7">
        <f t="shared" si="0"/>
        <v>104.23728813559323</v>
      </c>
      <c r="K36" s="7">
        <f t="shared" si="1"/>
        <v>18.762711864406782</v>
      </c>
      <c r="L36" s="8">
        <v>123</v>
      </c>
      <c r="M36" s="3" t="s">
        <v>19</v>
      </c>
      <c r="N36" s="3">
        <v>202511</v>
      </c>
      <c r="O36" s="3"/>
      <c r="P36" s="3" t="s">
        <v>193</v>
      </c>
      <c r="Q36" s="3" t="s">
        <v>194</v>
      </c>
    </row>
    <row r="37" spans="1:17" s="5" customFormat="1" ht="10.199999999999999" customHeight="1" x14ac:dyDescent="0.2">
      <c r="A37" s="3">
        <v>76669539</v>
      </c>
      <c r="B37" s="3" t="s">
        <v>15</v>
      </c>
      <c r="C37" s="3" t="s">
        <v>42</v>
      </c>
      <c r="D37" s="3" t="s">
        <v>16</v>
      </c>
      <c r="E37" s="3" t="s">
        <v>17</v>
      </c>
      <c r="F37" s="3">
        <v>20603396562</v>
      </c>
      <c r="G37" s="3" t="s">
        <v>71</v>
      </c>
      <c r="H37" s="3">
        <v>20603396562</v>
      </c>
      <c r="I37" s="4">
        <v>46034</v>
      </c>
      <c r="J37" s="7">
        <f t="shared" si="0"/>
        <v>384.04237288135596</v>
      </c>
      <c r="K37" s="7">
        <f t="shared" si="1"/>
        <v>69.127627118644071</v>
      </c>
      <c r="L37" s="8">
        <v>453.17</v>
      </c>
      <c r="M37" s="3" t="s">
        <v>19</v>
      </c>
      <c r="N37" s="3" t="s">
        <v>32</v>
      </c>
      <c r="O37" s="3"/>
      <c r="P37" s="3" t="s">
        <v>195</v>
      </c>
      <c r="Q37" s="3" t="s">
        <v>196</v>
      </c>
    </row>
    <row r="38" spans="1:17" s="5" customFormat="1" ht="10.199999999999999" customHeight="1" x14ac:dyDescent="0.2">
      <c r="A38" s="3">
        <v>76666749</v>
      </c>
      <c r="B38" s="3" t="s">
        <v>15</v>
      </c>
      <c r="C38" s="3" t="s">
        <v>42</v>
      </c>
      <c r="D38" s="3" t="s">
        <v>16</v>
      </c>
      <c r="E38" s="3" t="s">
        <v>17</v>
      </c>
      <c r="F38" s="3">
        <v>20206345536</v>
      </c>
      <c r="G38" s="3" t="s">
        <v>478</v>
      </c>
      <c r="H38" s="3">
        <v>20206345536</v>
      </c>
      <c r="I38" s="4">
        <v>46037</v>
      </c>
      <c r="J38" s="7">
        <f t="shared" si="0"/>
        <v>68.288135593220346</v>
      </c>
      <c r="K38" s="7">
        <f t="shared" si="1"/>
        <v>12.291864406779663</v>
      </c>
      <c r="L38" s="8">
        <v>80.58</v>
      </c>
      <c r="M38" s="3" t="s">
        <v>33</v>
      </c>
      <c r="N38" s="3"/>
      <c r="O38" s="3" t="s">
        <v>142</v>
      </c>
      <c r="P38" s="3"/>
      <c r="Q38" s="3" t="s">
        <v>485</v>
      </c>
    </row>
    <row r="39" spans="1:17" s="5" customFormat="1" ht="10.199999999999999" customHeight="1" x14ac:dyDescent="0.2">
      <c r="A39" s="3">
        <v>76667597</v>
      </c>
      <c r="B39" s="3" t="s">
        <v>24</v>
      </c>
      <c r="C39" s="3" t="s">
        <v>42</v>
      </c>
      <c r="D39" s="3" t="s">
        <v>16</v>
      </c>
      <c r="E39" s="3" t="s">
        <v>17</v>
      </c>
      <c r="F39" s="3">
        <v>20520598449</v>
      </c>
      <c r="G39" s="3" t="s">
        <v>72</v>
      </c>
      <c r="H39" s="3">
        <v>20520598449</v>
      </c>
      <c r="I39" s="4">
        <v>46037</v>
      </c>
      <c r="J39" s="7">
        <f t="shared" si="0"/>
        <v>56.016949152542374</v>
      </c>
      <c r="K39" s="7">
        <f t="shared" si="1"/>
        <v>10.083050847457628</v>
      </c>
      <c r="L39" s="8">
        <v>66.099999999999994</v>
      </c>
      <c r="M39" s="3" t="s">
        <v>19</v>
      </c>
      <c r="N39" s="3" t="s">
        <v>142</v>
      </c>
      <c r="O39" s="3"/>
      <c r="P39" s="3" t="s">
        <v>197</v>
      </c>
      <c r="Q39" s="3" t="s">
        <v>198</v>
      </c>
    </row>
    <row r="40" spans="1:17" s="5" customFormat="1" ht="10.199999999999999" customHeight="1" x14ac:dyDescent="0.2">
      <c r="A40" s="3">
        <v>76666854</v>
      </c>
      <c r="B40" s="3" t="s">
        <v>24</v>
      </c>
      <c r="C40" s="3" t="s">
        <v>42</v>
      </c>
      <c r="D40" s="3" t="s">
        <v>16</v>
      </c>
      <c r="E40" s="3" t="s">
        <v>17</v>
      </c>
      <c r="F40" s="3">
        <v>20393018730</v>
      </c>
      <c r="G40" s="3" t="s">
        <v>73</v>
      </c>
      <c r="H40" s="3">
        <v>20393018730</v>
      </c>
      <c r="I40" s="4">
        <v>46037</v>
      </c>
      <c r="J40" s="7">
        <f t="shared" si="0"/>
        <v>56.016949152542374</v>
      </c>
      <c r="K40" s="7">
        <f t="shared" si="1"/>
        <v>10.083050847457628</v>
      </c>
      <c r="L40" s="8">
        <v>66.099999999999994</v>
      </c>
      <c r="M40" s="3" t="s">
        <v>19</v>
      </c>
      <c r="N40" s="3">
        <v>202510</v>
      </c>
      <c r="O40" s="3"/>
      <c r="P40" s="3" t="s">
        <v>199</v>
      </c>
      <c r="Q40" s="3" t="s">
        <v>200</v>
      </c>
    </row>
    <row r="41" spans="1:17" s="5" customFormat="1" ht="10.199999999999999" customHeight="1" x14ac:dyDescent="0.2">
      <c r="A41" s="3">
        <v>76678981</v>
      </c>
      <c r="B41" s="3" t="s">
        <v>24</v>
      </c>
      <c r="C41" s="3" t="s">
        <v>42</v>
      </c>
      <c r="D41" s="3" t="s">
        <v>26</v>
      </c>
      <c r="E41" s="3" t="s">
        <v>27</v>
      </c>
      <c r="F41" s="3">
        <v>40433452</v>
      </c>
      <c r="G41" s="3" t="s">
        <v>74</v>
      </c>
      <c r="H41" s="3">
        <v>10404334528</v>
      </c>
      <c r="I41" s="4">
        <v>46037</v>
      </c>
      <c r="J41" s="7">
        <f t="shared" si="0"/>
        <v>143.89830508474577</v>
      </c>
      <c r="K41" s="7">
        <f t="shared" si="1"/>
        <v>25.90169491525424</v>
      </c>
      <c r="L41" s="8">
        <v>169.8</v>
      </c>
      <c r="M41" s="3" t="s">
        <v>19</v>
      </c>
      <c r="N41" s="3" t="s">
        <v>201</v>
      </c>
      <c r="O41" s="3"/>
      <c r="P41" s="3" t="s">
        <v>202</v>
      </c>
      <c r="Q41" s="3" t="s">
        <v>203</v>
      </c>
    </row>
    <row r="42" spans="1:17" s="5" customFormat="1" ht="10.199999999999999" customHeight="1" x14ac:dyDescent="0.2">
      <c r="A42" s="3">
        <v>76666773</v>
      </c>
      <c r="B42" s="3" t="s">
        <v>15</v>
      </c>
      <c r="C42" s="3" t="s">
        <v>42</v>
      </c>
      <c r="D42" s="3" t="s">
        <v>16</v>
      </c>
      <c r="E42" s="3" t="s">
        <v>17</v>
      </c>
      <c r="F42" s="3">
        <v>20266779985</v>
      </c>
      <c r="G42" s="3" t="s">
        <v>75</v>
      </c>
      <c r="H42" s="3">
        <v>20266779985</v>
      </c>
      <c r="I42" s="4">
        <v>46037</v>
      </c>
      <c r="J42" s="7">
        <f t="shared" si="0"/>
        <v>85.449152542372886</v>
      </c>
      <c r="K42" s="7">
        <f t="shared" si="1"/>
        <v>15.380847457627119</v>
      </c>
      <c r="L42" s="8">
        <v>100.83</v>
      </c>
      <c r="M42" s="3" t="s">
        <v>19</v>
      </c>
      <c r="N42" s="3">
        <v>202511</v>
      </c>
      <c r="O42" s="3"/>
      <c r="P42" s="3"/>
      <c r="Q42" s="3" t="s">
        <v>204</v>
      </c>
    </row>
    <row r="43" spans="1:17" s="5" customFormat="1" ht="10.199999999999999" customHeight="1" x14ac:dyDescent="0.2">
      <c r="A43" s="3">
        <v>76670605</v>
      </c>
      <c r="B43" s="3" t="s">
        <v>24</v>
      </c>
      <c r="C43" s="3" t="s">
        <v>42</v>
      </c>
      <c r="D43" s="3" t="s">
        <v>16</v>
      </c>
      <c r="E43" s="3" t="s">
        <v>17</v>
      </c>
      <c r="F43" s="3">
        <v>20608246411</v>
      </c>
      <c r="G43" s="3" t="s">
        <v>76</v>
      </c>
      <c r="H43" s="3">
        <v>20608246411</v>
      </c>
      <c r="I43" s="4">
        <v>46037</v>
      </c>
      <c r="J43" s="7">
        <f t="shared" si="0"/>
        <v>56.016949152542374</v>
      </c>
      <c r="K43" s="7">
        <f t="shared" si="1"/>
        <v>10.083050847457628</v>
      </c>
      <c r="L43" s="8">
        <v>66.099999999999994</v>
      </c>
      <c r="M43" s="3" t="s">
        <v>19</v>
      </c>
      <c r="N43" s="3">
        <v>202511</v>
      </c>
      <c r="O43" s="3"/>
      <c r="P43" s="3" t="s">
        <v>205</v>
      </c>
      <c r="Q43" s="3" t="s">
        <v>206</v>
      </c>
    </row>
    <row r="44" spans="1:17" s="5" customFormat="1" ht="10.199999999999999" customHeight="1" x14ac:dyDescent="0.2">
      <c r="A44" s="3">
        <v>76701653</v>
      </c>
      <c r="B44" s="3" t="s">
        <v>258</v>
      </c>
      <c r="C44" s="3" t="s">
        <v>42</v>
      </c>
      <c r="D44" s="3" t="s">
        <v>29</v>
      </c>
      <c r="E44" s="3" t="s">
        <v>30</v>
      </c>
      <c r="F44" s="3">
        <v>20502182529</v>
      </c>
      <c r="G44" s="3" t="s">
        <v>77</v>
      </c>
      <c r="H44" s="3">
        <v>20502182529</v>
      </c>
      <c r="I44" s="4">
        <v>46038</v>
      </c>
      <c r="J44" s="7">
        <f t="shared" si="0"/>
        <v>56.016949152542374</v>
      </c>
      <c r="K44" s="7">
        <f t="shared" si="1"/>
        <v>10.083050847457628</v>
      </c>
      <c r="L44" s="8">
        <v>66.099999999999994</v>
      </c>
      <c r="M44" s="3" t="s">
        <v>19</v>
      </c>
      <c r="N44" s="3">
        <v>202511</v>
      </c>
      <c r="O44" s="3"/>
      <c r="P44" s="3" t="s">
        <v>207</v>
      </c>
      <c r="Q44" s="3" t="s">
        <v>335</v>
      </c>
    </row>
    <row r="45" spans="1:17" s="5" customFormat="1" ht="10.199999999999999" customHeight="1" x14ac:dyDescent="0.2">
      <c r="A45" s="3">
        <v>76669865</v>
      </c>
      <c r="B45" s="3" t="s">
        <v>15</v>
      </c>
      <c r="C45" s="3" t="s">
        <v>42</v>
      </c>
      <c r="D45" s="3" t="s">
        <v>16</v>
      </c>
      <c r="E45" s="3" t="s">
        <v>17</v>
      </c>
      <c r="F45" s="3">
        <v>20604939713</v>
      </c>
      <c r="G45" s="3" t="s">
        <v>78</v>
      </c>
      <c r="H45" s="3">
        <v>20604939713</v>
      </c>
      <c r="I45" s="4">
        <v>46037</v>
      </c>
      <c r="J45" s="7">
        <f t="shared" si="0"/>
        <v>85.449152542372886</v>
      </c>
      <c r="K45" s="7">
        <f t="shared" si="1"/>
        <v>15.380847457627119</v>
      </c>
      <c r="L45" s="8">
        <v>100.83</v>
      </c>
      <c r="M45" s="3" t="s">
        <v>19</v>
      </c>
      <c r="N45" s="3">
        <v>202511</v>
      </c>
      <c r="O45" s="3"/>
      <c r="P45" s="3" t="s">
        <v>208</v>
      </c>
      <c r="Q45" s="3" t="s">
        <v>209</v>
      </c>
    </row>
    <row r="46" spans="1:17" s="5" customFormat="1" ht="10.199999999999999" customHeight="1" x14ac:dyDescent="0.2">
      <c r="A46" s="3">
        <v>76671295</v>
      </c>
      <c r="B46" s="3" t="s">
        <v>24</v>
      </c>
      <c r="C46" s="3" t="s">
        <v>42</v>
      </c>
      <c r="D46" s="3" t="s">
        <v>16</v>
      </c>
      <c r="E46" s="3" t="s">
        <v>17</v>
      </c>
      <c r="F46" s="3">
        <v>20610871951</v>
      </c>
      <c r="G46" s="3" t="s">
        <v>79</v>
      </c>
      <c r="H46" s="3">
        <v>20610871951</v>
      </c>
      <c r="I46" s="4">
        <v>46037</v>
      </c>
      <c r="J46" s="7">
        <f t="shared" si="0"/>
        <v>56.016949152542374</v>
      </c>
      <c r="K46" s="7">
        <f t="shared" si="1"/>
        <v>10.083050847457628</v>
      </c>
      <c r="L46" s="8">
        <v>66.099999999999994</v>
      </c>
      <c r="M46" s="3" t="s">
        <v>19</v>
      </c>
      <c r="N46" s="3" t="s">
        <v>142</v>
      </c>
      <c r="O46" s="3"/>
      <c r="P46" s="3" t="s">
        <v>210</v>
      </c>
      <c r="Q46" s="3" t="s">
        <v>211</v>
      </c>
    </row>
    <row r="47" spans="1:17" s="5" customFormat="1" ht="10.199999999999999" customHeight="1" x14ac:dyDescent="0.2">
      <c r="A47" s="3">
        <v>76668146</v>
      </c>
      <c r="B47" s="3" t="s">
        <v>15</v>
      </c>
      <c r="C47" s="3" t="s">
        <v>42</v>
      </c>
      <c r="D47" s="3" t="s">
        <v>16</v>
      </c>
      <c r="E47" s="3" t="s">
        <v>17</v>
      </c>
      <c r="F47" s="3">
        <v>20550479363</v>
      </c>
      <c r="G47" s="3" t="s">
        <v>80</v>
      </c>
      <c r="H47" s="3">
        <v>20550479363</v>
      </c>
      <c r="I47" s="4">
        <v>46037</v>
      </c>
      <c r="J47" s="7">
        <f t="shared" si="0"/>
        <v>56.016949152542374</v>
      </c>
      <c r="K47" s="7">
        <f t="shared" si="1"/>
        <v>10.083050847457628</v>
      </c>
      <c r="L47" s="8">
        <v>66.099999999999994</v>
      </c>
      <c r="M47" s="3" t="s">
        <v>19</v>
      </c>
      <c r="N47" s="3">
        <v>202510</v>
      </c>
      <c r="O47" s="3"/>
      <c r="P47" s="3" t="s">
        <v>212</v>
      </c>
      <c r="Q47" s="3" t="s">
        <v>213</v>
      </c>
    </row>
    <row r="48" spans="1:17" s="5" customFormat="1" ht="10.199999999999999" customHeight="1" x14ac:dyDescent="0.2">
      <c r="A48" s="3">
        <v>76666419</v>
      </c>
      <c r="B48" s="3" t="s">
        <v>24</v>
      </c>
      <c r="C48" s="3" t="s">
        <v>42</v>
      </c>
      <c r="D48" s="3" t="s">
        <v>16</v>
      </c>
      <c r="E48" s="3" t="s">
        <v>17</v>
      </c>
      <c r="F48" s="3">
        <v>29244743</v>
      </c>
      <c r="G48" s="3" t="s">
        <v>81</v>
      </c>
      <c r="H48" s="3">
        <v>10292447430</v>
      </c>
      <c r="I48" s="4">
        <v>46037</v>
      </c>
      <c r="J48" s="7">
        <f t="shared" si="0"/>
        <v>42.372881355932208</v>
      </c>
      <c r="K48" s="7">
        <f t="shared" si="1"/>
        <v>7.6271186440677967</v>
      </c>
      <c r="L48" s="8">
        <v>50</v>
      </c>
      <c r="M48" s="3" t="s">
        <v>19</v>
      </c>
      <c r="N48" s="3">
        <v>202511</v>
      </c>
      <c r="O48" s="3"/>
      <c r="P48" s="3"/>
      <c r="Q48" s="3" t="s">
        <v>214</v>
      </c>
    </row>
    <row r="49" spans="1:17" s="5" customFormat="1" ht="10.199999999999999" customHeight="1" x14ac:dyDescent="0.2">
      <c r="A49" s="3">
        <v>76666428</v>
      </c>
      <c r="B49" s="3" t="s">
        <v>24</v>
      </c>
      <c r="C49" s="3" t="s">
        <v>42</v>
      </c>
      <c r="D49" s="3" t="s">
        <v>16</v>
      </c>
      <c r="E49" s="3" t="s">
        <v>17</v>
      </c>
      <c r="F49" s="3">
        <v>29686180</v>
      </c>
      <c r="G49" s="3" t="s">
        <v>82</v>
      </c>
      <c r="H49" s="3">
        <v>10296861800</v>
      </c>
      <c r="I49" s="4">
        <v>46038</v>
      </c>
      <c r="J49" s="7">
        <f t="shared" si="0"/>
        <v>56.016949152542374</v>
      </c>
      <c r="K49" s="7">
        <f t="shared" si="1"/>
        <v>10.083050847457628</v>
      </c>
      <c r="L49" s="8">
        <v>66.099999999999994</v>
      </c>
      <c r="M49" s="3" t="s">
        <v>19</v>
      </c>
      <c r="N49" s="3">
        <v>202511</v>
      </c>
      <c r="O49" s="3"/>
      <c r="P49" s="3" t="s">
        <v>215</v>
      </c>
      <c r="Q49" s="3" t="s">
        <v>216</v>
      </c>
    </row>
    <row r="50" spans="1:17" s="5" customFormat="1" ht="10.199999999999999" customHeight="1" x14ac:dyDescent="0.2">
      <c r="A50" s="3">
        <v>76668123</v>
      </c>
      <c r="B50" s="3" t="s">
        <v>15</v>
      </c>
      <c r="C50" s="3" t="s">
        <v>42</v>
      </c>
      <c r="D50" s="3" t="s">
        <v>16</v>
      </c>
      <c r="E50" s="3" t="s">
        <v>17</v>
      </c>
      <c r="F50" s="3">
        <v>20549404911</v>
      </c>
      <c r="G50" s="3" t="s">
        <v>83</v>
      </c>
      <c r="H50" s="3">
        <v>20549404911</v>
      </c>
      <c r="I50" s="4">
        <v>46038</v>
      </c>
      <c r="J50" s="7">
        <f t="shared" si="0"/>
        <v>56.016949152542374</v>
      </c>
      <c r="K50" s="7">
        <f t="shared" si="1"/>
        <v>10.083050847457628</v>
      </c>
      <c r="L50" s="8">
        <v>66.099999999999994</v>
      </c>
      <c r="M50" s="3" t="s">
        <v>19</v>
      </c>
      <c r="N50" s="3">
        <v>202511</v>
      </c>
      <c r="O50" s="3"/>
      <c r="P50" s="3"/>
      <c r="Q50" s="3" t="s">
        <v>217</v>
      </c>
    </row>
    <row r="51" spans="1:17" s="5" customFormat="1" ht="10.199999999999999" customHeight="1" x14ac:dyDescent="0.2">
      <c r="A51" s="3">
        <v>76668507</v>
      </c>
      <c r="B51" s="3" t="s">
        <v>15</v>
      </c>
      <c r="C51" s="3" t="s">
        <v>42</v>
      </c>
      <c r="D51" s="3" t="s">
        <v>16</v>
      </c>
      <c r="E51" s="3" t="s">
        <v>17</v>
      </c>
      <c r="F51" s="3">
        <v>20569283753</v>
      </c>
      <c r="G51" s="3" t="s">
        <v>84</v>
      </c>
      <c r="H51" s="3">
        <v>20569283753</v>
      </c>
      <c r="I51" s="4">
        <v>46037</v>
      </c>
      <c r="J51" s="7">
        <f t="shared" si="0"/>
        <v>56.016949152542374</v>
      </c>
      <c r="K51" s="7">
        <f t="shared" si="1"/>
        <v>10.083050847457628</v>
      </c>
      <c r="L51" s="8">
        <v>66.099999999999994</v>
      </c>
      <c r="M51" s="3" t="s">
        <v>19</v>
      </c>
      <c r="N51" s="3">
        <v>202511</v>
      </c>
      <c r="O51" s="3"/>
      <c r="P51" s="3" t="s">
        <v>218</v>
      </c>
      <c r="Q51" s="3" t="s">
        <v>219</v>
      </c>
    </row>
    <row r="52" spans="1:17" s="5" customFormat="1" ht="10.199999999999999" customHeight="1" x14ac:dyDescent="0.2">
      <c r="A52" s="3">
        <v>76668094</v>
      </c>
      <c r="B52" s="3" t="s">
        <v>24</v>
      </c>
      <c r="C52" s="3" t="s">
        <v>42</v>
      </c>
      <c r="D52" s="3" t="s">
        <v>16</v>
      </c>
      <c r="E52" s="3" t="s">
        <v>17</v>
      </c>
      <c r="F52" s="3">
        <v>20548290784</v>
      </c>
      <c r="G52" s="3" t="s">
        <v>85</v>
      </c>
      <c r="H52" s="3">
        <v>20548290784</v>
      </c>
      <c r="I52" s="4">
        <v>46038</v>
      </c>
      <c r="J52" s="7">
        <f t="shared" si="0"/>
        <v>140.72033898305085</v>
      </c>
      <c r="K52" s="7">
        <f t="shared" si="1"/>
        <v>25.329661016949153</v>
      </c>
      <c r="L52" s="8">
        <v>166.05</v>
      </c>
      <c r="M52" s="3" t="s">
        <v>19</v>
      </c>
      <c r="N52" s="3">
        <v>202511</v>
      </c>
      <c r="O52" s="3"/>
      <c r="P52" s="3" t="s">
        <v>220</v>
      </c>
      <c r="Q52" s="3" t="s">
        <v>221</v>
      </c>
    </row>
    <row r="53" spans="1:17" s="5" customFormat="1" ht="10.199999999999999" customHeight="1" x14ac:dyDescent="0.2">
      <c r="A53" s="3">
        <v>76672071</v>
      </c>
      <c r="B53" s="3" t="s">
        <v>15</v>
      </c>
      <c r="C53" s="3" t="s">
        <v>42</v>
      </c>
      <c r="D53" s="3" t="s">
        <v>16</v>
      </c>
      <c r="E53" s="3" t="s">
        <v>17</v>
      </c>
      <c r="F53" s="3">
        <v>20614087448</v>
      </c>
      <c r="G53" s="3" t="s">
        <v>86</v>
      </c>
      <c r="H53" s="3">
        <v>20614087448</v>
      </c>
      <c r="I53" s="4">
        <v>46038</v>
      </c>
      <c r="J53" s="7">
        <f t="shared" si="0"/>
        <v>56.016949152542374</v>
      </c>
      <c r="K53" s="7">
        <f t="shared" si="1"/>
        <v>10.083050847457628</v>
      </c>
      <c r="L53" s="8">
        <v>66.099999999999994</v>
      </c>
      <c r="M53" s="3" t="s">
        <v>19</v>
      </c>
      <c r="N53" s="3">
        <v>202511</v>
      </c>
      <c r="O53" s="3"/>
      <c r="P53" s="3" t="s">
        <v>222</v>
      </c>
      <c r="Q53" s="3" t="s">
        <v>223</v>
      </c>
    </row>
    <row r="54" spans="1:17" s="5" customFormat="1" ht="10.199999999999999" customHeight="1" x14ac:dyDescent="0.2">
      <c r="A54" s="3">
        <v>76668410</v>
      </c>
      <c r="B54" s="3" t="s">
        <v>24</v>
      </c>
      <c r="C54" s="3" t="s">
        <v>42</v>
      </c>
      <c r="D54" s="3" t="s">
        <v>16</v>
      </c>
      <c r="E54" s="3" t="s">
        <v>17</v>
      </c>
      <c r="F54" s="3">
        <v>20563278511</v>
      </c>
      <c r="G54" s="3" t="s">
        <v>87</v>
      </c>
      <c r="H54" s="3">
        <v>20563278511</v>
      </c>
      <c r="I54" s="4">
        <v>46038</v>
      </c>
      <c r="J54" s="7">
        <f t="shared" si="0"/>
        <v>56.016949152542374</v>
      </c>
      <c r="K54" s="7">
        <f t="shared" si="1"/>
        <v>10.083050847457628</v>
      </c>
      <c r="L54" s="8">
        <v>66.099999999999994</v>
      </c>
      <c r="M54" s="3" t="s">
        <v>19</v>
      </c>
      <c r="N54" s="3">
        <v>202511</v>
      </c>
      <c r="O54" s="3"/>
      <c r="P54" s="3" t="s">
        <v>224</v>
      </c>
      <c r="Q54" s="3" t="s">
        <v>225</v>
      </c>
    </row>
    <row r="55" spans="1:17" s="5" customFormat="1" ht="10.199999999999999" customHeight="1" x14ac:dyDescent="0.2">
      <c r="A55" s="3">
        <v>76667641</v>
      </c>
      <c r="B55" s="3" t="s">
        <v>15</v>
      </c>
      <c r="C55" s="3" t="s">
        <v>42</v>
      </c>
      <c r="D55" s="3" t="s">
        <v>16</v>
      </c>
      <c r="E55" s="3" t="s">
        <v>17</v>
      </c>
      <c r="F55" s="3">
        <v>20522811131</v>
      </c>
      <c r="G55" s="3" t="s">
        <v>88</v>
      </c>
      <c r="H55" s="3">
        <v>20522811131</v>
      </c>
      <c r="I55" s="4">
        <v>46039</v>
      </c>
      <c r="J55" s="7">
        <f t="shared" si="0"/>
        <v>56.016949152542374</v>
      </c>
      <c r="K55" s="7">
        <f t="shared" si="1"/>
        <v>10.083050847457628</v>
      </c>
      <c r="L55" s="8">
        <v>66.099999999999994</v>
      </c>
      <c r="M55" s="3" t="s">
        <v>19</v>
      </c>
      <c r="N55" s="3">
        <v>202511</v>
      </c>
      <c r="O55" s="3"/>
      <c r="P55" s="3" t="s">
        <v>226</v>
      </c>
      <c r="Q55" s="3" t="s">
        <v>227</v>
      </c>
    </row>
    <row r="56" spans="1:17" s="5" customFormat="1" ht="10.199999999999999" customHeight="1" x14ac:dyDescent="0.2">
      <c r="A56" s="3">
        <v>76667361</v>
      </c>
      <c r="B56" s="3" t="s">
        <v>61</v>
      </c>
      <c r="C56" s="3" t="s">
        <v>42</v>
      </c>
      <c r="D56" s="3" t="s">
        <v>16</v>
      </c>
      <c r="E56" s="3" t="s">
        <v>17</v>
      </c>
      <c r="F56" s="3">
        <v>20505562047</v>
      </c>
      <c r="G56" s="3" t="s">
        <v>89</v>
      </c>
      <c r="H56" s="3">
        <v>20505562047</v>
      </c>
      <c r="I56" s="4">
        <v>46039</v>
      </c>
      <c r="J56" s="7">
        <f t="shared" si="0"/>
        <v>56.016949152542374</v>
      </c>
      <c r="K56" s="7">
        <f t="shared" si="1"/>
        <v>10.083050847457628</v>
      </c>
      <c r="L56" s="8">
        <v>66.099999999999994</v>
      </c>
      <c r="M56" s="3" t="s">
        <v>19</v>
      </c>
      <c r="N56" s="3">
        <v>202510</v>
      </c>
      <c r="O56" s="3"/>
      <c r="P56" s="3" t="s">
        <v>228</v>
      </c>
      <c r="Q56" s="3" t="s">
        <v>229</v>
      </c>
    </row>
    <row r="57" spans="1:17" s="5" customFormat="1" ht="10.199999999999999" customHeight="1" x14ac:dyDescent="0.2">
      <c r="A57" s="3">
        <v>76669549</v>
      </c>
      <c r="B57" s="3" t="s">
        <v>24</v>
      </c>
      <c r="C57" s="3" t="s">
        <v>42</v>
      </c>
      <c r="D57" s="3" t="s">
        <v>16</v>
      </c>
      <c r="E57" s="3" t="s">
        <v>17</v>
      </c>
      <c r="F57" s="3">
        <v>20603418892</v>
      </c>
      <c r="G57" s="3" t="s">
        <v>90</v>
      </c>
      <c r="H57" s="3">
        <v>20603418892</v>
      </c>
      <c r="I57" s="4">
        <v>46039</v>
      </c>
      <c r="J57" s="7">
        <f t="shared" si="0"/>
        <v>56.016949152542374</v>
      </c>
      <c r="K57" s="7">
        <f t="shared" si="1"/>
        <v>10.083050847457628</v>
      </c>
      <c r="L57" s="8">
        <v>66.099999999999994</v>
      </c>
      <c r="M57" s="3" t="s">
        <v>19</v>
      </c>
      <c r="N57" s="3">
        <v>202511</v>
      </c>
      <c r="O57" s="3"/>
      <c r="P57" s="3" t="s">
        <v>230</v>
      </c>
      <c r="Q57" s="3" t="s">
        <v>336</v>
      </c>
    </row>
    <row r="58" spans="1:17" s="5" customFormat="1" ht="10.199999999999999" customHeight="1" x14ac:dyDescent="0.2">
      <c r="A58" s="3">
        <v>76669048</v>
      </c>
      <c r="B58" s="3" t="s">
        <v>15</v>
      </c>
      <c r="C58" s="3" t="s">
        <v>42</v>
      </c>
      <c r="D58" s="3" t="s">
        <v>16</v>
      </c>
      <c r="E58" s="3" t="s">
        <v>17</v>
      </c>
      <c r="F58" s="3">
        <v>20601700329</v>
      </c>
      <c r="G58" s="3" t="s">
        <v>91</v>
      </c>
      <c r="H58" s="3">
        <v>20601700329</v>
      </c>
      <c r="I58" s="4">
        <v>46036</v>
      </c>
      <c r="J58" s="7">
        <f t="shared" si="0"/>
        <v>56.016949152542374</v>
      </c>
      <c r="K58" s="7">
        <f t="shared" si="1"/>
        <v>10.083050847457628</v>
      </c>
      <c r="L58" s="8">
        <v>66.099999999999994</v>
      </c>
      <c r="M58" s="3" t="s">
        <v>19</v>
      </c>
      <c r="N58" s="3">
        <v>202511</v>
      </c>
      <c r="O58" s="3"/>
      <c r="P58" s="3" t="s">
        <v>231</v>
      </c>
      <c r="Q58" s="3" t="s">
        <v>337</v>
      </c>
    </row>
    <row r="59" spans="1:17" s="5" customFormat="1" ht="10.199999999999999" customHeight="1" x14ac:dyDescent="0.2">
      <c r="A59" s="3">
        <v>76667563</v>
      </c>
      <c r="B59" s="3" t="s">
        <v>24</v>
      </c>
      <c r="C59" s="3" t="s">
        <v>42</v>
      </c>
      <c r="D59" s="3" t="s">
        <v>16</v>
      </c>
      <c r="E59" s="3" t="s">
        <v>17</v>
      </c>
      <c r="F59" s="3">
        <v>20517740781</v>
      </c>
      <c r="G59" s="3" t="s">
        <v>92</v>
      </c>
      <c r="H59" s="3">
        <v>20517740781</v>
      </c>
      <c r="I59" s="4">
        <v>46041</v>
      </c>
      <c r="J59" s="7">
        <f t="shared" si="0"/>
        <v>131.77966101694915</v>
      </c>
      <c r="K59" s="7">
        <f t="shared" si="1"/>
        <v>23.720338983050844</v>
      </c>
      <c r="L59" s="8">
        <v>155.5</v>
      </c>
      <c r="M59" s="3" t="s">
        <v>19</v>
      </c>
      <c r="N59" s="3">
        <v>202511</v>
      </c>
      <c r="O59" s="3"/>
      <c r="P59" s="3" t="s">
        <v>232</v>
      </c>
      <c r="Q59" s="3" t="s">
        <v>338</v>
      </c>
    </row>
    <row r="60" spans="1:17" s="5" customFormat="1" ht="10.199999999999999" customHeight="1" x14ac:dyDescent="0.2">
      <c r="A60" s="3">
        <v>76671778</v>
      </c>
      <c r="B60" s="3" t="s">
        <v>24</v>
      </c>
      <c r="C60" s="3" t="s">
        <v>42</v>
      </c>
      <c r="D60" s="3" t="s">
        <v>16</v>
      </c>
      <c r="E60" s="3" t="s">
        <v>17</v>
      </c>
      <c r="F60" s="3">
        <v>20612796182</v>
      </c>
      <c r="G60" s="3" t="s">
        <v>93</v>
      </c>
      <c r="H60" s="3">
        <v>20612796182</v>
      </c>
      <c r="I60" s="4">
        <v>46041</v>
      </c>
      <c r="J60" s="7">
        <f t="shared" si="0"/>
        <v>57.067796610169495</v>
      </c>
      <c r="K60" s="7">
        <f t="shared" si="1"/>
        <v>10.272203389830509</v>
      </c>
      <c r="L60" s="8">
        <v>67.34</v>
      </c>
      <c r="M60" s="3" t="s">
        <v>18</v>
      </c>
      <c r="N60" s="3">
        <v>202510</v>
      </c>
      <c r="O60" s="3">
        <v>202511</v>
      </c>
      <c r="P60" s="3"/>
      <c r="Q60" s="3" t="s">
        <v>339</v>
      </c>
    </row>
    <row r="61" spans="1:17" s="5" customFormat="1" ht="10.199999999999999" customHeight="1" x14ac:dyDescent="0.2">
      <c r="A61" s="3">
        <v>76670893</v>
      </c>
      <c r="B61" s="3" t="s">
        <v>15</v>
      </c>
      <c r="C61" s="3" t="s">
        <v>42</v>
      </c>
      <c r="D61" s="3" t="s">
        <v>16</v>
      </c>
      <c r="E61" s="3" t="s">
        <v>17</v>
      </c>
      <c r="F61" s="3">
        <v>20609409453</v>
      </c>
      <c r="G61" s="3" t="s">
        <v>94</v>
      </c>
      <c r="H61" s="3">
        <v>20609409453</v>
      </c>
      <c r="I61" s="4">
        <v>46041</v>
      </c>
      <c r="J61" s="7">
        <f t="shared" si="0"/>
        <v>46.610169491525426</v>
      </c>
      <c r="K61" s="7">
        <f t="shared" si="1"/>
        <v>8.3898305084745761</v>
      </c>
      <c r="L61" s="8">
        <v>55</v>
      </c>
      <c r="M61" s="3" t="s">
        <v>19</v>
      </c>
      <c r="N61" s="3">
        <v>202511</v>
      </c>
      <c r="O61" s="3"/>
      <c r="P61" s="3" t="s">
        <v>233</v>
      </c>
      <c r="Q61" s="3" t="s">
        <v>340</v>
      </c>
    </row>
    <row r="62" spans="1:17" s="5" customFormat="1" ht="10.199999999999999" customHeight="1" x14ac:dyDescent="0.2">
      <c r="A62" s="3">
        <v>76670205</v>
      </c>
      <c r="B62" s="3" t="s">
        <v>15</v>
      </c>
      <c r="C62" s="3" t="s">
        <v>42</v>
      </c>
      <c r="D62" s="3" t="s">
        <v>16</v>
      </c>
      <c r="E62" s="3" t="s">
        <v>17</v>
      </c>
      <c r="F62" s="3">
        <v>20606257733</v>
      </c>
      <c r="G62" s="3" t="s">
        <v>95</v>
      </c>
      <c r="H62" s="3">
        <v>20606257733</v>
      </c>
      <c r="I62" s="4">
        <v>46041</v>
      </c>
      <c r="J62" s="7">
        <f t="shared" si="0"/>
        <v>56.016949152542374</v>
      </c>
      <c r="K62" s="7">
        <f t="shared" si="1"/>
        <v>10.083050847457628</v>
      </c>
      <c r="L62" s="8">
        <v>66.099999999999994</v>
      </c>
      <c r="M62" s="3" t="s">
        <v>19</v>
      </c>
      <c r="N62" s="3">
        <v>202511</v>
      </c>
      <c r="O62" s="3"/>
      <c r="P62" s="3" t="s">
        <v>234</v>
      </c>
      <c r="Q62" s="3" t="s">
        <v>341</v>
      </c>
    </row>
    <row r="63" spans="1:17" s="5" customFormat="1" ht="10.199999999999999" customHeight="1" x14ac:dyDescent="0.2">
      <c r="A63" s="3">
        <v>76668864</v>
      </c>
      <c r="B63" s="3" t="s">
        <v>24</v>
      </c>
      <c r="C63" s="3" t="s">
        <v>42</v>
      </c>
      <c r="D63" s="3" t="s">
        <v>16</v>
      </c>
      <c r="E63" s="3" t="s">
        <v>17</v>
      </c>
      <c r="F63" s="3">
        <v>20601136067</v>
      </c>
      <c r="G63" s="3" t="s">
        <v>96</v>
      </c>
      <c r="H63" s="3">
        <v>20601136067</v>
      </c>
      <c r="I63" s="4">
        <v>46041</v>
      </c>
      <c r="J63" s="7">
        <f t="shared" si="0"/>
        <v>56.016949152542374</v>
      </c>
      <c r="K63" s="7">
        <f t="shared" si="1"/>
        <v>10.083050847457628</v>
      </c>
      <c r="L63" s="8">
        <v>66.099999999999994</v>
      </c>
      <c r="M63" s="3" t="s">
        <v>19</v>
      </c>
      <c r="N63" s="3">
        <v>202511</v>
      </c>
      <c r="O63" s="3"/>
      <c r="P63" s="3" t="s">
        <v>235</v>
      </c>
      <c r="Q63" s="3" t="s">
        <v>342</v>
      </c>
    </row>
    <row r="64" spans="1:17" s="5" customFormat="1" ht="10.199999999999999" customHeight="1" x14ac:dyDescent="0.2">
      <c r="A64" s="3">
        <v>76670802</v>
      </c>
      <c r="B64" s="3" t="s">
        <v>24</v>
      </c>
      <c r="C64" s="3" t="s">
        <v>42</v>
      </c>
      <c r="D64" s="3" t="s">
        <v>16</v>
      </c>
      <c r="E64" s="3" t="s">
        <v>17</v>
      </c>
      <c r="F64" s="3">
        <v>20609031728</v>
      </c>
      <c r="G64" s="3" t="s">
        <v>97</v>
      </c>
      <c r="H64" s="3">
        <v>20609031728</v>
      </c>
      <c r="I64" s="4">
        <v>46041</v>
      </c>
      <c r="J64" s="7">
        <f t="shared" si="0"/>
        <v>103.66101694915254</v>
      </c>
      <c r="K64" s="7">
        <f t="shared" si="1"/>
        <v>18.658983050847457</v>
      </c>
      <c r="L64" s="8">
        <v>122.32</v>
      </c>
      <c r="M64" s="3" t="s">
        <v>19</v>
      </c>
      <c r="N64" s="3">
        <v>202511</v>
      </c>
      <c r="O64" s="3"/>
      <c r="P64" s="3" t="s">
        <v>236</v>
      </c>
      <c r="Q64" s="3" t="s">
        <v>343</v>
      </c>
    </row>
    <row r="65" spans="1:17" s="5" customFormat="1" ht="10.199999999999999" customHeight="1" x14ac:dyDescent="0.2">
      <c r="A65" s="3">
        <v>76671447</v>
      </c>
      <c r="B65" s="3" t="s">
        <v>15</v>
      </c>
      <c r="C65" s="3" t="s">
        <v>42</v>
      </c>
      <c r="D65" s="3" t="s">
        <v>16</v>
      </c>
      <c r="E65" s="3" t="s">
        <v>17</v>
      </c>
      <c r="F65" s="3">
        <v>20611480611</v>
      </c>
      <c r="G65" s="3" t="s">
        <v>98</v>
      </c>
      <c r="H65" s="3">
        <v>20611480611</v>
      </c>
      <c r="I65" s="4">
        <v>46041</v>
      </c>
      <c r="J65" s="7">
        <f t="shared" si="0"/>
        <v>59.703389830508478</v>
      </c>
      <c r="K65" s="7">
        <f t="shared" si="1"/>
        <v>10.746610169491525</v>
      </c>
      <c r="L65" s="8">
        <v>70.45</v>
      </c>
      <c r="M65" s="3" t="s">
        <v>19</v>
      </c>
      <c r="N65" s="3">
        <v>202511</v>
      </c>
      <c r="O65" s="3"/>
      <c r="P65" s="3" t="s">
        <v>237</v>
      </c>
      <c r="Q65" s="3" t="s">
        <v>344</v>
      </c>
    </row>
    <row r="66" spans="1:17" s="5" customFormat="1" ht="10.199999999999999" customHeight="1" x14ac:dyDescent="0.2">
      <c r="A66" s="3">
        <v>76702324</v>
      </c>
      <c r="B66" s="3" t="s">
        <v>259</v>
      </c>
      <c r="C66" s="3" t="s">
        <v>42</v>
      </c>
      <c r="D66" s="3" t="s">
        <v>29</v>
      </c>
      <c r="E66" s="3" t="s">
        <v>30</v>
      </c>
      <c r="F66" s="3">
        <v>20512090878</v>
      </c>
      <c r="G66" s="3" t="s">
        <v>99</v>
      </c>
      <c r="H66" s="3">
        <v>20512090878</v>
      </c>
      <c r="I66" s="4">
        <v>46041</v>
      </c>
      <c r="J66" s="7">
        <f t="shared" ref="J66:J165" si="2">+L66/1.18</f>
        <v>58.627118644067806</v>
      </c>
      <c r="K66" s="7">
        <f t="shared" ref="K66:K165" si="3">J66*0.18</f>
        <v>10.552881355932204</v>
      </c>
      <c r="L66" s="8">
        <v>69.180000000000007</v>
      </c>
      <c r="M66" s="3" t="s">
        <v>19</v>
      </c>
      <c r="N66" s="3" t="s">
        <v>238</v>
      </c>
      <c r="O66" s="3"/>
      <c r="P66" s="3"/>
      <c r="Q66" s="3" t="s">
        <v>345</v>
      </c>
    </row>
    <row r="67" spans="1:17" s="5" customFormat="1" ht="10.199999999999999" customHeight="1" x14ac:dyDescent="0.2">
      <c r="A67" s="3">
        <v>76667847</v>
      </c>
      <c r="B67" s="3" t="s">
        <v>259</v>
      </c>
      <c r="C67" s="3" t="s">
        <v>42</v>
      </c>
      <c r="D67" s="3" t="s">
        <v>16</v>
      </c>
      <c r="E67" s="3" t="s">
        <v>17</v>
      </c>
      <c r="F67" s="3">
        <v>20536391861</v>
      </c>
      <c r="G67" s="3" t="s">
        <v>100</v>
      </c>
      <c r="H67" s="3">
        <v>20536391861</v>
      </c>
      <c r="I67" s="4">
        <v>46042</v>
      </c>
      <c r="J67" s="7">
        <f t="shared" si="2"/>
        <v>56.016949152542374</v>
      </c>
      <c r="K67" s="7">
        <f t="shared" si="3"/>
        <v>10.083050847457628</v>
      </c>
      <c r="L67" s="8">
        <v>66.099999999999994</v>
      </c>
      <c r="M67" s="3" t="s">
        <v>19</v>
      </c>
      <c r="N67" s="3">
        <v>202511</v>
      </c>
      <c r="O67" s="3"/>
      <c r="P67" s="3"/>
      <c r="Q67" s="3" t="s">
        <v>346</v>
      </c>
    </row>
    <row r="68" spans="1:17" s="5" customFormat="1" ht="10.199999999999999" customHeight="1" x14ac:dyDescent="0.2">
      <c r="A68" s="3">
        <v>76667362</v>
      </c>
      <c r="B68" s="3" t="s">
        <v>259</v>
      </c>
      <c r="C68" s="3" t="s">
        <v>42</v>
      </c>
      <c r="D68" s="3" t="s">
        <v>16</v>
      </c>
      <c r="E68" s="3" t="s">
        <v>17</v>
      </c>
      <c r="F68" s="3">
        <v>20505605463</v>
      </c>
      <c r="G68" s="3" t="s">
        <v>101</v>
      </c>
      <c r="H68" s="3">
        <v>20505605463</v>
      </c>
      <c r="I68" s="4">
        <v>46042</v>
      </c>
      <c r="J68" s="7">
        <f t="shared" si="2"/>
        <v>56.016949152542374</v>
      </c>
      <c r="K68" s="7">
        <f t="shared" si="3"/>
        <v>10.083050847457628</v>
      </c>
      <c r="L68" s="8">
        <v>66.099999999999994</v>
      </c>
      <c r="M68" s="3" t="s">
        <v>19</v>
      </c>
      <c r="N68" s="3">
        <v>202511</v>
      </c>
      <c r="O68" s="3"/>
      <c r="P68" s="3"/>
      <c r="Q68" s="3" t="s">
        <v>347</v>
      </c>
    </row>
    <row r="69" spans="1:17" s="5" customFormat="1" ht="10.199999999999999" customHeight="1" x14ac:dyDescent="0.2">
      <c r="A69" s="3">
        <v>76670624</v>
      </c>
      <c r="B69" s="3" t="s">
        <v>24</v>
      </c>
      <c r="C69" s="3" t="s">
        <v>42</v>
      </c>
      <c r="D69" s="3" t="s">
        <v>16</v>
      </c>
      <c r="E69" s="3" t="s">
        <v>17</v>
      </c>
      <c r="F69" s="3">
        <v>20608311727</v>
      </c>
      <c r="G69" s="3" t="s">
        <v>102</v>
      </c>
      <c r="H69" s="3">
        <v>20608311727</v>
      </c>
      <c r="I69" s="4">
        <v>46041</v>
      </c>
      <c r="J69" s="7">
        <f t="shared" si="2"/>
        <v>89.305084745762713</v>
      </c>
      <c r="K69" s="7">
        <f t="shared" si="3"/>
        <v>16.074915254237286</v>
      </c>
      <c r="L69" s="8">
        <v>105.38</v>
      </c>
      <c r="M69" s="3" t="s">
        <v>19</v>
      </c>
      <c r="N69" s="3">
        <v>202511</v>
      </c>
      <c r="O69" s="3"/>
      <c r="P69" s="3" t="s">
        <v>239</v>
      </c>
      <c r="Q69" s="3" t="s">
        <v>348</v>
      </c>
    </row>
    <row r="70" spans="1:17" s="5" customFormat="1" ht="10.199999999999999" customHeight="1" x14ac:dyDescent="0.2">
      <c r="A70" s="3">
        <v>76669801</v>
      </c>
      <c r="B70" s="3" t="s">
        <v>15</v>
      </c>
      <c r="C70" s="3" t="s">
        <v>42</v>
      </c>
      <c r="D70" s="3" t="s">
        <v>16</v>
      </c>
      <c r="E70" s="3" t="s">
        <v>17</v>
      </c>
      <c r="F70" s="3">
        <v>20604632090</v>
      </c>
      <c r="G70" s="3" t="s">
        <v>103</v>
      </c>
      <c r="H70" s="3">
        <v>20604632090</v>
      </c>
      <c r="I70" s="4">
        <v>46042</v>
      </c>
      <c r="J70" s="7">
        <f t="shared" si="2"/>
        <v>91.525423728813564</v>
      </c>
      <c r="K70" s="7">
        <f t="shared" si="3"/>
        <v>16.474576271186439</v>
      </c>
      <c r="L70" s="8">
        <v>108</v>
      </c>
      <c r="M70" s="3" t="s">
        <v>19</v>
      </c>
      <c r="N70" s="3" t="s">
        <v>167</v>
      </c>
      <c r="O70" s="3"/>
      <c r="P70" s="3" t="s">
        <v>240</v>
      </c>
      <c r="Q70" s="3" t="s">
        <v>349</v>
      </c>
    </row>
    <row r="71" spans="1:17" s="5" customFormat="1" ht="10.199999999999999" customHeight="1" x14ac:dyDescent="0.2">
      <c r="A71" s="3">
        <v>76671274</v>
      </c>
      <c r="B71" s="3" t="s">
        <v>259</v>
      </c>
      <c r="C71" s="3" t="s">
        <v>42</v>
      </c>
      <c r="D71" s="3" t="s">
        <v>16</v>
      </c>
      <c r="E71" s="3" t="s">
        <v>17</v>
      </c>
      <c r="F71" s="3">
        <v>20610782770</v>
      </c>
      <c r="G71" s="3" t="s">
        <v>104</v>
      </c>
      <c r="H71" s="3">
        <v>20610782770</v>
      </c>
      <c r="I71" s="4">
        <v>46042</v>
      </c>
      <c r="J71" s="7">
        <f t="shared" si="2"/>
        <v>56.016949152542374</v>
      </c>
      <c r="K71" s="7">
        <f t="shared" si="3"/>
        <v>10.083050847457628</v>
      </c>
      <c r="L71" s="8">
        <v>66.099999999999994</v>
      </c>
      <c r="M71" s="3" t="s">
        <v>19</v>
      </c>
      <c r="N71" s="3">
        <v>202511</v>
      </c>
      <c r="O71" s="3"/>
      <c r="P71" s="3"/>
      <c r="Q71" s="3" t="s">
        <v>350</v>
      </c>
    </row>
    <row r="72" spans="1:17" s="5" customFormat="1" ht="10.199999999999999" customHeight="1" x14ac:dyDescent="0.2">
      <c r="A72" s="3">
        <v>76671385</v>
      </c>
      <c r="B72" s="3" t="s">
        <v>15</v>
      </c>
      <c r="C72" s="3" t="s">
        <v>42</v>
      </c>
      <c r="D72" s="3" t="s">
        <v>16</v>
      </c>
      <c r="E72" s="3" t="s">
        <v>17</v>
      </c>
      <c r="F72" s="3">
        <v>20611212721</v>
      </c>
      <c r="G72" s="3" t="s">
        <v>105</v>
      </c>
      <c r="H72" s="3">
        <v>20611212721</v>
      </c>
      <c r="I72" s="4">
        <v>46042</v>
      </c>
      <c r="J72" s="7">
        <f t="shared" si="2"/>
        <v>56.016949152542374</v>
      </c>
      <c r="K72" s="7">
        <f t="shared" si="3"/>
        <v>10.083050847457628</v>
      </c>
      <c r="L72" s="8">
        <v>66.099999999999994</v>
      </c>
      <c r="M72" s="3" t="s">
        <v>19</v>
      </c>
      <c r="N72" s="3">
        <v>202511</v>
      </c>
      <c r="O72" s="3"/>
      <c r="P72" s="3" t="s">
        <v>241</v>
      </c>
      <c r="Q72" s="3" t="s">
        <v>351</v>
      </c>
    </row>
    <row r="73" spans="1:17" s="5" customFormat="1" ht="10.199999999999999" customHeight="1" x14ac:dyDescent="0.2">
      <c r="A73" s="3">
        <v>76666597</v>
      </c>
      <c r="B73" s="3" t="s">
        <v>15</v>
      </c>
      <c r="C73" s="3" t="s">
        <v>42</v>
      </c>
      <c r="D73" s="3" t="s">
        <v>16</v>
      </c>
      <c r="E73" s="3" t="s">
        <v>17</v>
      </c>
      <c r="F73" s="3">
        <v>46303014</v>
      </c>
      <c r="G73" s="3" t="s">
        <v>106</v>
      </c>
      <c r="H73" s="3">
        <v>10463030141</v>
      </c>
      <c r="I73" s="4">
        <v>46042</v>
      </c>
      <c r="J73" s="7">
        <f t="shared" si="2"/>
        <v>56.016949152542374</v>
      </c>
      <c r="K73" s="7">
        <f t="shared" si="3"/>
        <v>10.083050847457628</v>
      </c>
      <c r="L73" s="8">
        <v>66.099999999999994</v>
      </c>
      <c r="M73" s="3" t="s">
        <v>19</v>
      </c>
      <c r="N73" s="3">
        <v>202511</v>
      </c>
      <c r="O73" s="3"/>
      <c r="P73" s="3" t="s">
        <v>242</v>
      </c>
      <c r="Q73" s="3" t="s">
        <v>352</v>
      </c>
    </row>
    <row r="74" spans="1:17" s="5" customFormat="1" ht="10.199999999999999" customHeight="1" x14ac:dyDescent="0.2">
      <c r="A74" s="3">
        <v>76670759</v>
      </c>
      <c r="B74" s="3" t="s">
        <v>259</v>
      </c>
      <c r="C74" s="3" t="s">
        <v>42</v>
      </c>
      <c r="D74" s="3" t="s">
        <v>16</v>
      </c>
      <c r="E74" s="3" t="s">
        <v>17</v>
      </c>
      <c r="F74" s="3">
        <v>20608882503</v>
      </c>
      <c r="G74" s="3" t="s">
        <v>107</v>
      </c>
      <c r="H74" s="3">
        <v>20608882503</v>
      </c>
      <c r="I74" s="4">
        <v>46042</v>
      </c>
      <c r="J74" s="7">
        <f t="shared" si="2"/>
        <v>56.016949152542374</v>
      </c>
      <c r="K74" s="7">
        <f t="shared" si="3"/>
        <v>10.083050847457628</v>
      </c>
      <c r="L74" s="8">
        <v>66.099999999999994</v>
      </c>
      <c r="M74" s="3" t="s">
        <v>19</v>
      </c>
      <c r="N74" s="3" t="s">
        <v>142</v>
      </c>
      <c r="O74" s="3"/>
      <c r="P74" s="3"/>
      <c r="Q74" s="3" t="s">
        <v>353</v>
      </c>
    </row>
    <row r="75" spans="1:17" s="5" customFormat="1" ht="10.199999999999999" customHeight="1" x14ac:dyDescent="0.2">
      <c r="A75" s="3">
        <v>76672196</v>
      </c>
      <c r="B75" s="3" t="s">
        <v>259</v>
      </c>
      <c r="C75" s="3" t="s">
        <v>42</v>
      </c>
      <c r="D75" s="3" t="s">
        <v>16</v>
      </c>
      <c r="E75" s="3" t="s">
        <v>17</v>
      </c>
      <c r="F75" s="3">
        <v>20614810000</v>
      </c>
      <c r="G75" s="3" t="s">
        <v>108</v>
      </c>
      <c r="H75" s="3">
        <v>20614810000</v>
      </c>
      <c r="I75" s="4">
        <v>46042</v>
      </c>
      <c r="J75" s="7">
        <f t="shared" si="2"/>
        <v>56.016949152542374</v>
      </c>
      <c r="K75" s="7">
        <f t="shared" si="3"/>
        <v>10.083050847457628</v>
      </c>
      <c r="L75" s="8">
        <v>66.099999999999994</v>
      </c>
      <c r="M75" s="3" t="s">
        <v>19</v>
      </c>
      <c r="N75" s="3">
        <v>202511</v>
      </c>
      <c r="O75" s="3"/>
      <c r="P75" s="3"/>
      <c r="Q75" s="3" t="s">
        <v>354</v>
      </c>
    </row>
    <row r="76" spans="1:17" s="5" customFormat="1" ht="10.199999999999999" customHeight="1" x14ac:dyDescent="0.2">
      <c r="A76" s="3">
        <v>76670301</v>
      </c>
      <c r="B76" s="3" t="s">
        <v>15</v>
      </c>
      <c r="C76" s="3" t="s">
        <v>42</v>
      </c>
      <c r="D76" s="3" t="s">
        <v>16</v>
      </c>
      <c r="E76" s="3" t="s">
        <v>17</v>
      </c>
      <c r="F76" s="3">
        <v>20606657537</v>
      </c>
      <c r="G76" s="3" t="s">
        <v>109</v>
      </c>
      <c r="H76" s="3">
        <v>20606657537</v>
      </c>
      <c r="I76" s="4">
        <v>46042</v>
      </c>
      <c r="J76" s="7">
        <f t="shared" si="2"/>
        <v>116.94915254237289</v>
      </c>
      <c r="K76" s="7">
        <f t="shared" si="3"/>
        <v>21.050847457627118</v>
      </c>
      <c r="L76" s="8">
        <v>138</v>
      </c>
      <c r="M76" s="3" t="s">
        <v>19</v>
      </c>
      <c r="N76" s="3">
        <v>202511</v>
      </c>
      <c r="O76" s="3"/>
      <c r="P76" s="3" t="s">
        <v>243</v>
      </c>
      <c r="Q76" s="3" t="s">
        <v>355</v>
      </c>
    </row>
    <row r="77" spans="1:17" s="5" customFormat="1" ht="10.199999999999999" customHeight="1" x14ac:dyDescent="0.2">
      <c r="A77" s="3">
        <v>76669487</v>
      </c>
      <c r="B77" s="3" t="s">
        <v>15</v>
      </c>
      <c r="C77" s="3" t="s">
        <v>42</v>
      </c>
      <c r="D77" s="3" t="s">
        <v>16</v>
      </c>
      <c r="E77" s="3" t="s">
        <v>17</v>
      </c>
      <c r="F77" s="3">
        <v>20603163622</v>
      </c>
      <c r="G77" s="3" t="s">
        <v>110</v>
      </c>
      <c r="H77" s="3">
        <v>20603163622</v>
      </c>
      <c r="I77" s="4">
        <v>46042</v>
      </c>
      <c r="J77" s="7">
        <f t="shared" si="2"/>
        <v>65.855932203389827</v>
      </c>
      <c r="K77" s="7">
        <f t="shared" si="3"/>
        <v>11.854067796610169</v>
      </c>
      <c r="L77" s="8">
        <v>77.709999999999994</v>
      </c>
      <c r="M77" s="3" t="s">
        <v>19</v>
      </c>
      <c r="N77" s="3">
        <v>202511</v>
      </c>
      <c r="O77" s="3"/>
      <c r="P77" s="3" t="s">
        <v>244</v>
      </c>
      <c r="Q77" s="3" t="s">
        <v>356</v>
      </c>
    </row>
    <row r="78" spans="1:17" s="5" customFormat="1" ht="10.199999999999999" customHeight="1" x14ac:dyDescent="0.2">
      <c r="A78" s="3">
        <v>76669345</v>
      </c>
      <c r="B78" s="3" t="s">
        <v>258</v>
      </c>
      <c r="C78" s="3" t="s">
        <v>42</v>
      </c>
      <c r="D78" s="3" t="s">
        <v>16</v>
      </c>
      <c r="E78" s="3" t="s">
        <v>17</v>
      </c>
      <c r="F78" s="3">
        <v>20602620787</v>
      </c>
      <c r="G78" s="3" t="s">
        <v>111</v>
      </c>
      <c r="H78" s="3">
        <v>20602620787</v>
      </c>
      <c r="I78" s="4">
        <v>46042</v>
      </c>
      <c r="J78" s="7">
        <f t="shared" si="2"/>
        <v>56.016949152542374</v>
      </c>
      <c r="K78" s="7">
        <f t="shared" si="3"/>
        <v>10.083050847457628</v>
      </c>
      <c r="L78" s="8">
        <v>66.099999999999994</v>
      </c>
      <c r="M78" s="3" t="s">
        <v>19</v>
      </c>
      <c r="N78" s="3" t="s">
        <v>142</v>
      </c>
      <c r="O78" s="3"/>
      <c r="P78" s="3" t="s">
        <v>245</v>
      </c>
      <c r="Q78" s="3" t="s">
        <v>357</v>
      </c>
    </row>
    <row r="79" spans="1:17" s="5" customFormat="1" ht="10.199999999999999" customHeight="1" x14ac:dyDescent="0.2">
      <c r="A79" s="3">
        <v>76670397</v>
      </c>
      <c r="B79" s="3" t="s">
        <v>24</v>
      </c>
      <c r="C79" s="3" t="s">
        <v>42</v>
      </c>
      <c r="D79" s="3" t="s">
        <v>16</v>
      </c>
      <c r="E79" s="3" t="s">
        <v>17</v>
      </c>
      <c r="F79" s="3">
        <v>20607244686</v>
      </c>
      <c r="G79" s="3" t="s">
        <v>112</v>
      </c>
      <c r="H79" s="3">
        <v>20607244686</v>
      </c>
      <c r="I79" s="4">
        <v>46042</v>
      </c>
      <c r="J79" s="7">
        <f t="shared" si="2"/>
        <v>125.31355932203391</v>
      </c>
      <c r="K79" s="7">
        <f t="shared" si="3"/>
        <v>22.556440677966101</v>
      </c>
      <c r="L79" s="8">
        <v>147.87</v>
      </c>
      <c r="M79" s="3" t="s">
        <v>19</v>
      </c>
      <c r="N79" s="3" t="s">
        <v>167</v>
      </c>
      <c r="O79" s="3"/>
      <c r="P79" s="3"/>
      <c r="Q79" s="3" t="s">
        <v>358</v>
      </c>
    </row>
    <row r="80" spans="1:17" s="5" customFormat="1" ht="10.199999999999999" customHeight="1" x14ac:dyDescent="0.2">
      <c r="A80" s="3">
        <v>76671255</v>
      </c>
      <c r="B80" s="3" t="s">
        <v>258</v>
      </c>
      <c r="C80" s="3" t="s">
        <v>42</v>
      </c>
      <c r="D80" s="3" t="s">
        <v>16</v>
      </c>
      <c r="E80" s="3" t="s">
        <v>17</v>
      </c>
      <c r="F80" s="3">
        <v>20610702423</v>
      </c>
      <c r="G80" s="3" t="s">
        <v>113</v>
      </c>
      <c r="H80" s="3">
        <v>20610702423</v>
      </c>
      <c r="I80" s="4">
        <v>46042</v>
      </c>
      <c r="J80" s="7">
        <f t="shared" si="2"/>
        <v>56.016949152542374</v>
      </c>
      <c r="K80" s="7">
        <f t="shared" si="3"/>
        <v>10.083050847457628</v>
      </c>
      <c r="L80" s="8">
        <v>66.099999999999994</v>
      </c>
      <c r="M80" s="3" t="s">
        <v>19</v>
      </c>
      <c r="N80" s="3">
        <v>202511</v>
      </c>
      <c r="O80" s="3"/>
      <c r="P80" s="3" t="s">
        <v>246</v>
      </c>
      <c r="Q80" s="3" t="s">
        <v>359</v>
      </c>
    </row>
    <row r="81" spans="1:17" s="5" customFormat="1" ht="10.199999999999999" customHeight="1" x14ac:dyDescent="0.2">
      <c r="A81" s="3">
        <v>76670904</v>
      </c>
      <c r="B81" s="3" t="s">
        <v>259</v>
      </c>
      <c r="C81" s="3" t="s">
        <v>42</v>
      </c>
      <c r="D81" s="3" t="s">
        <v>16</v>
      </c>
      <c r="E81" s="3" t="s">
        <v>17</v>
      </c>
      <c r="F81" s="3">
        <v>20609447665</v>
      </c>
      <c r="G81" s="3" t="s">
        <v>114</v>
      </c>
      <c r="H81" s="3">
        <v>20609447665</v>
      </c>
      <c r="I81" s="4">
        <v>46043</v>
      </c>
      <c r="J81" s="7">
        <f t="shared" si="2"/>
        <v>56.016949152542374</v>
      </c>
      <c r="K81" s="7">
        <f t="shared" si="3"/>
        <v>10.083050847457628</v>
      </c>
      <c r="L81" s="8">
        <v>66.099999999999994</v>
      </c>
      <c r="M81" s="3" t="s">
        <v>19</v>
      </c>
      <c r="N81" s="3">
        <v>202510</v>
      </c>
      <c r="O81" s="3"/>
      <c r="P81" s="3"/>
      <c r="Q81" s="3" t="s">
        <v>360</v>
      </c>
    </row>
    <row r="82" spans="1:17" s="5" customFormat="1" ht="10.199999999999999" customHeight="1" x14ac:dyDescent="0.2">
      <c r="A82" s="3">
        <v>76669898</v>
      </c>
      <c r="B82" s="3" t="s">
        <v>15</v>
      </c>
      <c r="C82" s="3" t="s">
        <v>42</v>
      </c>
      <c r="D82" s="3" t="s">
        <v>16</v>
      </c>
      <c r="E82" s="3" t="s">
        <v>17</v>
      </c>
      <c r="F82" s="3">
        <v>20605108955</v>
      </c>
      <c r="G82" s="3" t="s">
        <v>115</v>
      </c>
      <c r="H82" s="3">
        <v>20605108955</v>
      </c>
      <c r="I82" s="4">
        <v>46035</v>
      </c>
      <c r="J82" s="7">
        <f t="shared" si="2"/>
        <v>57.872881355932215</v>
      </c>
      <c r="K82" s="7">
        <f t="shared" si="3"/>
        <v>10.417118644067799</v>
      </c>
      <c r="L82" s="8">
        <v>68.290000000000006</v>
      </c>
      <c r="M82" s="3" t="s">
        <v>19</v>
      </c>
      <c r="N82" s="3" t="s">
        <v>167</v>
      </c>
      <c r="O82" s="3"/>
      <c r="P82" s="3" t="s">
        <v>247</v>
      </c>
      <c r="Q82" s="3" t="s">
        <v>361</v>
      </c>
    </row>
    <row r="83" spans="1:17" s="5" customFormat="1" ht="10.199999999999999" customHeight="1" x14ac:dyDescent="0.2">
      <c r="A83" s="3">
        <v>76669647</v>
      </c>
      <c r="B83" s="3" t="s">
        <v>15</v>
      </c>
      <c r="C83" s="3" t="s">
        <v>42</v>
      </c>
      <c r="D83" s="3" t="s">
        <v>16</v>
      </c>
      <c r="E83" s="3" t="s">
        <v>17</v>
      </c>
      <c r="F83" s="3">
        <v>20603847424</v>
      </c>
      <c r="G83" s="3" t="s">
        <v>116</v>
      </c>
      <c r="H83" s="3">
        <v>20603847424</v>
      </c>
      <c r="I83" s="4">
        <v>46042</v>
      </c>
      <c r="J83" s="7">
        <f t="shared" si="2"/>
        <v>118.64406779661017</v>
      </c>
      <c r="K83" s="7">
        <f t="shared" si="3"/>
        <v>21.35593220338983</v>
      </c>
      <c r="L83" s="8">
        <v>140</v>
      </c>
      <c r="M83" s="3" t="s">
        <v>19</v>
      </c>
      <c r="N83" s="3">
        <v>202511</v>
      </c>
      <c r="O83" s="3"/>
      <c r="P83" s="3" t="s">
        <v>248</v>
      </c>
      <c r="Q83" s="3" t="s">
        <v>362</v>
      </c>
    </row>
    <row r="84" spans="1:17" s="5" customFormat="1" ht="10.199999999999999" customHeight="1" x14ac:dyDescent="0.2">
      <c r="A84" s="3">
        <v>76666783</v>
      </c>
      <c r="B84" s="3" t="s">
        <v>15</v>
      </c>
      <c r="C84" s="3" t="s">
        <v>42</v>
      </c>
      <c r="D84" s="3" t="s">
        <v>16</v>
      </c>
      <c r="E84" s="3" t="s">
        <v>17</v>
      </c>
      <c r="F84" s="3">
        <v>20294112805</v>
      </c>
      <c r="G84" s="3" t="s">
        <v>117</v>
      </c>
      <c r="H84" s="3">
        <v>20294112805</v>
      </c>
      <c r="I84" s="4">
        <v>46043</v>
      </c>
      <c r="J84" s="7">
        <f t="shared" si="2"/>
        <v>56.016949152542374</v>
      </c>
      <c r="K84" s="7">
        <f t="shared" si="3"/>
        <v>10.083050847457628</v>
      </c>
      <c r="L84" s="8">
        <v>66.099999999999994</v>
      </c>
      <c r="M84" s="3" t="s">
        <v>19</v>
      </c>
      <c r="N84" s="3">
        <v>202511</v>
      </c>
      <c r="O84" s="3"/>
      <c r="P84" s="3" t="s">
        <v>249</v>
      </c>
      <c r="Q84" s="3" t="s">
        <v>363</v>
      </c>
    </row>
    <row r="85" spans="1:17" s="5" customFormat="1" ht="10.199999999999999" customHeight="1" x14ac:dyDescent="0.2">
      <c r="A85" s="3">
        <v>76669795</v>
      </c>
      <c r="B85" s="3" t="s">
        <v>24</v>
      </c>
      <c r="C85" s="3" t="s">
        <v>42</v>
      </c>
      <c r="D85" s="3" t="s">
        <v>16</v>
      </c>
      <c r="E85" s="3" t="s">
        <v>17</v>
      </c>
      <c r="F85" s="3">
        <v>20604582050</v>
      </c>
      <c r="G85" s="3" t="s">
        <v>118</v>
      </c>
      <c r="H85" s="3">
        <v>20604582050</v>
      </c>
      <c r="I85" s="4">
        <v>46043</v>
      </c>
      <c r="J85" s="7">
        <f t="shared" si="2"/>
        <v>56.016949152542374</v>
      </c>
      <c r="K85" s="7">
        <f t="shared" si="3"/>
        <v>10.083050847457628</v>
      </c>
      <c r="L85" s="8">
        <v>66.099999999999994</v>
      </c>
      <c r="M85" s="3" t="s">
        <v>19</v>
      </c>
      <c r="N85" s="3" t="s">
        <v>167</v>
      </c>
      <c r="O85" s="3"/>
      <c r="P85" s="3" t="s">
        <v>250</v>
      </c>
      <c r="Q85" s="3" t="s">
        <v>364</v>
      </c>
    </row>
    <row r="86" spans="1:17" s="5" customFormat="1" ht="10.199999999999999" customHeight="1" x14ac:dyDescent="0.2">
      <c r="A86" s="3">
        <v>76672051</v>
      </c>
      <c r="B86" s="3" t="s">
        <v>15</v>
      </c>
      <c r="C86" s="3" t="s">
        <v>42</v>
      </c>
      <c r="D86" s="3" t="s">
        <v>16</v>
      </c>
      <c r="E86" s="3" t="s">
        <v>17</v>
      </c>
      <c r="F86" s="3">
        <v>20613984608</v>
      </c>
      <c r="G86" s="3" t="s">
        <v>119</v>
      </c>
      <c r="H86" s="3">
        <v>20613984608</v>
      </c>
      <c r="I86" s="4">
        <v>46043</v>
      </c>
      <c r="J86" s="7">
        <f t="shared" si="2"/>
        <v>69.491525423728817</v>
      </c>
      <c r="K86" s="7">
        <f t="shared" si="3"/>
        <v>12.508474576271187</v>
      </c>
      <c r="L86" s="8">
        <v>82</v>
      </c>
      <c r="M86" s="3" t="s">
        <v>19</v>
      </c>
      <c r="N86" s="3">
        <v>202511</v>
      </c>
      <c r="O86" s="3"/>
      <c r="P86" s="3" t="s">
        <v>251</v>
      </c>
      <c r="Q86" s="3" t="s">
        <v>365</v>
      </c>
    </row>
    <row r="87" spans="1:17" s="5" customFormat="1" ht="10.199999999999999" customHeight="1" x14ac:dyDescent="0.2">
      <c r="A87" s="3">
        <v>76667292</v>
      </c>
      <c r="B87" s="3" t="s">
        <v>24</v>
      </c>
      <c r="C87" s="3" t="s">
        <v>42</v>
      </c>
      <c r="D87" s="3" t="s">
        <v>16</v>
      </c>
      <c r="E87" s="3" t="s">
        <v>17</v>
      </c>
      <c r="F87" s="3">
        <v>20495014551</v>
      </c>
      <c r="G87" s="3" t="s">
        <v>120</v>
      </c>
      <c r="H87" s="3">
        <v>20495014551</v>
      </c>
      <c r="I87" s="4">
        <v>46043</v>
      </c>
      <c r="J87" s="7">
        <f t="shared" si="2"/>
        <v>153.76271186440678</v>
      </c>
      <c r="K87" s="7">
        <f t="shared" si="3"/>
        <v>27.677288135593219</v>
      </c>
      <c r="L87" s="8">
        <v>181.44</v>
      </c>
      <c r="M87" s="3" t="s">
        <v>19</v>
      </c>
      <c r="N87" s="3">
        <v>202511</v>
      </c>
      <c r="O87" s="3"/>
      <c r="P87" s="3"/>
      <c r="Q87" s="3" t="s">
        <v>366</v>
      </c>
    </row>
    <row r="88" spans="1:17" s="5" customFormat="1" ht="10.199999999999999" customHeight="1" x14ac:dyDescent="0.2">
      <c r="A88" s="3">
        <v>76671216</v>
      </c>
      <c r="B88" s="3" t="s">
        <v>15</v>
      </c>
      <c r="C88" s="3" t="s">
        <v>42</v>
      </c>
      <c r="D88" s="3" t="s">
        <v>16</v>
      </c>
      <c r="E88" s="3" t="s">
        <v>17</v>
      </c>
      <c r="F88" s="3">
        <v>20610550984</v>
      </c>
      <c r="G88" s="3" t="s">
        <v>121</v>
      </c>
      <c r="H88" s="3">
        <v>20610550984</v>
      </c>
      <c r="I88" s="4">
        <v>46043</v>
      </c>
      <c r="J88" s="7">
        <f t="shared" si="2"/>
        <v>72.881355932203391</v>
      </c>
      <c r="K88" s="7">
        <f t="shared" si="3"/>
        <v>13.118644067796611</v>
      </c>
      <c r="L88" s="8">
        <v>86</v>
      </c>
      <c r="M88" s="3" t="s">
        <v>19</v>
      </c>
      <c r="N88" s="3">
        <v>202511</v>
      </c>
      <c r="O88" s="3"/>
      <c r="P88" s="3" t="s">
        <v>252</v>
      </c>
      <c r="Q88" s="3" t="s">
        <v>367</v>
      </c>
    </row>
    <row r="89" spans="1:17" s="5" customFormat="1" ht="10.199999999999999" customHeight="1" x14ac:dyDescent="0.2">
      <c r="A89" s="3">
        <v>76668295</v>
      </c>
      <c r="B89" s="3" t="s">
        <v>258</v>
      </c>
      <c r="C89" s="3" t="s">
        <v>42</v>
      </c>
      <c r="D89" s="3" t="s">
        <v>16</v>
      </c>
      <c r="E89" s="3" t="s">
        <v>17</v>
      </c>
      <c r="F89" s="3">
        <v>20555831294</v>
      </c>
      <c r="G89" s="3" t="s">
        <v>122</v>
      </c>
      <c r="H89" s="3">
        <v>20555831294</v>
      </c>
      <c r="I89" s="4">
        <v>46043</v>
      </c>
      <c r="J89" s="7">
        <f t="shared" si="2"/>
        <v>56.016949152542374</v>
      </c>
      <c r="K89" s="7">
        <f t="shared" si="3"/>
        <v>10.083050847457628</v>
      </c>
      <c r="L89" s="8">
        <v>66.099999999999994</v>
      </c>
      <c r="M89" s="3" t="s">
        <v>18</v>
      </c>
      <c r="N89" s="3">
        <v>202510</v>
      </c>
      <c r="O89" s="3">
        <v>202511</v>
      </c>
      <c r="P89" s="3" t="s">
        <v>253</v>
      </c>
      <c r="Q89" s="3" t="s">
        <v>368</v>
      </c>
    </row>
    <row r="90" spans="1:17" s="5" customFormat="1" ht="10.199999999999999" customHeight="1" x14ac:dyDescent="0.2">
      <c r="A90" s="3">
        <v>76670849</v>
      </c>
      <c r="B90" s="3" t="s">
        <v>15</v>
      </c>
      <c r="C90" s="3" t="s">
        <v>42</v>
      </c>
      <c r="D90" s="3" t="s">
        <v>16</v>
      </c>
      <c r="E90" s="3" t="s">
        <v>17</v>
      </c>
      <c r="F90" s="3">
        <v>20609234157</v>
      </c>
      <c r="G90" s="3" t="s">
        <v>123</v>
      </c>
      <c r="H90" s="3">
        <v>20609234157</v>
      </c>
      <c r="I90" s="4">
        <v>46042</v>
      </c>
      <c r="J90" s="7">
        <f t="shared" si="2"/>
        <v>98.305084745762713</v>
      </c>
      <c r="K90" s="7">
        <f t="shared" si="3"/>
        <v>17.694915254237287</v>
      </c>
      <c r="L90" s="8">
        <v>116</v>
      </c>
      <c r="M90" s="3" t="s">
        <v>19</v>
      </c>
      <c r="N90" s="3" t="s">
        <v>254</v>
      </c>
      <c r="O90" s="3"/>
      <c r="P90" s="3" t="s">
        <v>255</v>
      </c>
      <c r="Q90" s="3" t="s">
        <v>369</v>
      </c>
    </row>
    <row r="91" spans="1:17" s="5" customFormat="1" ht="10.199999999999999" customHeight="1" x14ac:dyDescent="0.2">
      <c r="A91" s="3">
        <v>76671712</v>
      </c>
      <c r="B91" s="3" t="s">
        <v>15</v>
      </c>
      <c r="C91" s="3" t="s">
        <v>42</v>
      </c>
      <c r="D91" s="3" t="s">
        <v>16</v>
      </c>
      <c r="E91" s="3" t="s">
        <v>17</v>
      </c>
      <c r="F91" s="3">
        <v>20612494127</v>
      </c>
      <c r="G91" s="3" t="s">
        <v>124</v>
      </c>
      <c r="H91" s="3">
        <v>20612494127</v>
      </c>
      <c r="I91" s="4">
        <v>46043</v>
      </c>
      <c r="J91" s="7">
        <f t="shared" si="2"/>
        <v>56.016949152542374</v>
      </c>
      <c r="K91" s="7">
        <f t="shared" si="3"/>
        <v>10.083050847457628</v>
      </c>
      <c r="L91" s="8">
        <v>66.099999999999994</v>
      </c>
      <c r="M91" s="3" t="s">
        <v>19</v>
      </c>
      <c r="N91" s="3" t="s">
        <v>142</v>
      </c>
      <c r="O91" s="3"/>
      <c r="P91" s="3" t="s">
        <v>256</v>
      </c>
      <c r="Q91" s="3" t="s">
        <v>370</v>
      </c>
    </row>
    <row r="92" spans="1:17" s="5" customFormat="1" ht="10.199999999999999" customHeight="1" x14ac:dyDescent="0.2">
      <c r="A92" s="3">
        <v>76667875</v>
      </c>
      <c r="B92" s="3" t="s">
        <v>15</v>
      </c>
      <c r="C92" s="3" t="s">
        <v>42</v>
      </c>
      <c r="D92" s="3" t="s">
        <v>16</v>
      </c>
      <c r="E92" s="3" t="s">
        <v>17</v>
      </c>
      <c r="F92" s="3">
        <v>20537572273</v>
      </c>
      <c r="G92" s="3" t="s">
        <v>125</v>
      </c>
      <c r="H92" s="3">
        <v>20537572273</v>
      </c>
      <c r="I92" s="4">
        <v>46043</v>
      </c>
      <c r="J92" s="7">
        <f t="shared" si="2"/>
        <v>142.37288135593221</v>
      </c>
      <c r="K92" s="7">
        <f t="shared" si="3"/>
        <v>25.627118644067796</v>
      </c>
      <c r="L92" s="8">
        <v>168</v>
      </c>
      <c r="M92" s="3" t="s">
        <v>19</v>
      </c>
      <c r="N92" s="3">
        <v>202511</v>
      </c>
      <c r="O92" s="3"/>
      <c r="P92" s="3" t="s">
        <v>257</v>
      </c>
      <c r="Q92" s="3" t="s">
        <v>371</v>
      </c>
    </row>
    <row r="93" spans="1:17" s="5" customFormat="1" ht="10.199999999999999" customHeight="1" x14ac:dyDescent="0.2">
      <c r="A93" s="3">
        <v>76671214</v>
      </c>
      <c r="B93" s="3" t="s">
        <v>258</v>
      </c>
      <c r="C93" s="3" t="s">
        <v>42</v>
      </c>
      <c r="D93" s="3" t="s">
        <v>16</v>
      </c>
      <c r="E93" s="3" t="s">
        <v>17</v>
      </c>
      <c r="F93" s="3">
        <v>20610550429</v>
      </c>
      <c r="G93" s="3" t="s">
        <v>260</v>
      </c>
      <c r="H93" s="3">
        <v>20610550429</v>
      </c>
      <c r="I93" s="4">
        <v>46044</v>
      </c>
      <c r="J93" s="7">
        <f t="shared" si="2"/>
        <v>56.779661016949156</v>
      </c>
      <c r="K93" s="7">
        <f t="shared" si="3"/>
        <v>10.220338983050848</v>
      </c>
      <c r="L93" s="8">
        <v>67</v>
      </c>
      <c r="M93" s="3" t="s">
        <v>19</v>
      </c>
      <c r="N93" s="3">
        <v>202511</v>
      </c>
      <c r="O93" s="3"/>
      <c r="P93" s="3" t="s">
        <v>372</v>
      </c>
      <c r="Q93" s="3" t="s">
        <v>373</v>
      </c>
    </row>
    <row r="94" spans="1:17" s="5" customFormat="1" ht="10.199999999999999" customHeight="1" x14ac:dyDescent="0.2">
      <c r="A94" s="3">
        <v>76666654</v>
      </c>
      <c r="B94" s="3" t="s">
        <v>258</v>
      </c>
      <c r="C94" s="3" t="s">
        <v>42</v>
      </c>
      <c r="D94" s="3" t="s">
        <v>16</v>
      </c>
      <c r="E94" s="3" t="s">
        <v>17</v>
      </c>
      <c r="F94" s="3">
        <v>73421054</v>
      </c>
      <c r="G94" s="3" t="s">
        <v>261</v>
      </c>
      <c r="H94" s="3">
        <v>10734210540</v>
      </c>
      <c r="I94" s="4">
        <v>46044</v>
      </c>
      <c r="J94" s="7">
        <f t="shared" si="2"/>
        <v>56.016949152542374</v>
      </c>
      <c r="K94" s="7">
        <f t="shared" si="3"/>
        <v>10.083050847457628</v>
      </c>
      <c r="L94" s="8">
        <v>66.099999999999994</v>
      </c>
      <c r="M94" s="3" t="s">
        <v>19</v>
      </c>
      <c r="N94" s="3" t="s">
        <v>142</v>
      </c>
      <c r="O94" s="3"/>
      <c r="P94" s="3"/>
      <c r="Q94" s="3" t="s">
        <v>374</v>
      </c>
    </row>
    <row r="95" spans="1:17" s="5" customFormat="1" ht="10.199999999999999" customHeight="1" x14ac:dyDescent="0.2">
      <c r="A95" s="3">
        <v>76669233</v>
      </c>
      <c r="B95" s="3" t="s">
        <v>24</v>
      </c>
      <c r="C95" s="3" t="s">
        <v>42</v>
      </c>
      <c r="D95" s="3" t="s">
        <v>16</v>
      </c>
      <c r="E95" s="3" t="s">
        <v>17</v>
      </c>
      <c r="F95" s="3">
        <v>20602296581</v>
      </c>
      <c r="G95" s="3" t="s">
        <v>262</v>
      </c>
      <c r="H95" s="3">
        <v>20602296581</v>
      </c>
      <c r="I95" s="4">
        <v>46044</v>
      </c>
      <c r="J95" s="7">
        <f t="shared" si="2"/>
        <v>105.29661016949153</v>
      </c>
      <c r="K95" s="7">
        <f t="shared" si="3"/>
        <v>18.953389830508474</v>
      </c>
      <c r="L95" s="8">
        <v>124.25</v>
      </c>
      <c r="M95" s="3" t="s">
        <v>19</v>
      </c>
      <c r="N95" s="3" t="s">
        <v>142</v>
      </c>
      <c r="O95" s="3"/>
      <c r="P95" s="3" t="s">
        <v>375</v>
      </c>
      <c r="Q95" s="3" t="s">
        <v>376</v>
      </c>
    </row>
    <row r="96" spans="1:17" s="5" customFormat="1" ht="10.199999999999999" customHeight="1" x14ac:dyDescent="0.2">
      <c r="A96" s="3">
        <v>76669022</v>
      </c>
      <c r="B96" s="3" t="s">
        <v>259</v>
      </c>
      <c r="C96" s="3" t="s">
        <v>42</v>
      </c>
      <c r="D96" s="3" t="s">
        <v>16</v>
      </c>
      <c r="E96" s="3" t="s">
        <v>17</v>
      </c>
      <c r="F96" s="3">
        <v>20601592771</v>
      </c>
      <c r="G96" s="3" t="s">
        <v>263</v>
      </c>
      <c r="H96" s="3">
        <v>20601592771</v>
      </c>
      <c r="I96" s="4">
        <v>46044</v>
      </c>
      <c r="J96" s="7">
        <f t="shared" si="2"/>
        <v>56.016949152542374</v>
      </c>
      <c r="K96" s="7">
        <f t="shared" si="3"/>
        <v>10.083050847457628</v>
      </c>
      <c r="L96" s="8">
        <v>66.099999999999994</v>
      </c>
      <c r="M96" s="3" t="s">
        <v>19</v>
      </c>
      <c r="N96" s="3">
        <v>202511</v>
      </c>
      <c r="O96" s="3"/>
      <c r="P96" s="3"/>
      <c r="Q96" s="3" t="s">
        <v>377</v>
      </c>
    </row>
    <row r="97" spans="1:17" s="5" customFormat="1" ht="10.199999999999999" customHeight="1" x14ac:dyDescent="0.2">
      <c r="A97" s="3">
        <v>76667695</v>
      </c>
      <c r="B97" s="3" t="s">
        <v>24</v>
      </c>
      <c r="C97" s="3" t="s">
        <v>42</v>
      </c>
      <c r="D97" s="3" t="s">
        <v>16</v>
      </c>
      <c r="E97" s="3" t="s">
        <v>17</v>
      </c>
      <c r="F97" s="3">
        <v>20525845070</v>
      </c>
      <c r="G97" s="3" t="s">
        <v>264</v>
      </c>
      <c r="H97" s="3">
        <v>20525845070</v>
      </c>
      <c r="I97" s="4">
        <v>46044</v>
      </c>
      <c r="J97" s="7">
        <f t="shared" si="2"/>
        <v>70.508474576271198</v>
      </c>
      <c r="K97" s="7">
        <f t="shared" si="3"/>
        <v>12.691525423728814</v>
      </c>
      <c r="L97" s="8">
        <v>83.2</v>
      </c>
      <c r="M97" s="3" t="s">
        <v>19</v>
      </c>
      <c r="N97" s="3" t="s">
        <v>142</v>
      </c>
      <c r="O97" s="3"/>
      <c r="P97" s="3" t="s">
        <v>378</v>
      </c>
      <c r="Q97" s="3" t="s">
        <v>379</v>
      </c>
    </row>
    <row r="98" spans="1:17" s="5" customFormat="1" ht="10.199999999999999" customHeight="1" x14ac:dyDescent="0.2">
      <c r="A98" s="3">
        <v>76667501</v>
      </c>
      <c r="B98" s="3" t="s">
        <v>15</v>
      </c>
      <c r="C98" s="3" t="s">
        <v>42</v>
      </c>
      <c r="D98" s="3" t="s">
        <v>16</v>
      </c>
      <c r="E98" s="3" t="s">
        <v>17</v>
      </c>
      <c r="F98" s="3">
        <v>20514380270</v>
      </c>
      <c r="G98" s="3" t="s">
        <v>265</v>
      </c>
      <c r="H98" s="3">
        <v>20514380270</v>
      </c>
      <c r="I98" s="4">
        <v>46044</v>
      </c>
      <c r="J98" s="7">
        <f t="shared" si="2"/>
        <v>56.016949152542374</v>
      </c>
      <c r="K98" s="7">
        <f t="shared" si="3"/>
        <v>10.083050847457628</v>
      </c>
      <c r="L98" s="8">
        <v>66.099999999999994</v>
      </c>
      <c r="M98" s="3" t="s">
        <v>19</v>
      </c>
      <c r="N98" s="3">
        <v>202511</v>
      </c>
      <c r="O98" s="3"/>
      <c r="P98" s="3" t="s">
        <v>380</v>
      </c>
      <c r="Q98" s="3" t="s">
        <v>381</v>
      </c>
    </row>
    <row r="99" spans="1:17" s="5" customFormat="1" ht="10.199999999999999" customHeight="1" x14ac:dyDescent="0.2">
      <c r="A99" s="3">
        <v>76667372</v>
      </c>
      <c r="B99" s="3" t="s">
        <v>15</v>
      </c>
      <c r="C99" s="3" t="s">
        <v>42</v>
      </c>
      <c r="D99" s="3" t="s">
        <v>16</v>
      </c>
      <c r="E99" s="3" t="s">
        <v>17</v>
      </c>
      <c r="F99" s="3">
        <v>20506613001</v>
      </c>
      <c r="G99" s="3" t="s">
        <v>266</v>
      </c>
      <c r="H99" s="3">
        <v>20506613001</v>
      </c>
      <c r="I99" s="4">
        <v>46044</v>
      </c>
      <c r="J99" s="7">
        <f t="shared" si="2"/>
        <v>56.016949152542374</v>
      </c>
      <c r="K99" s="7">
        <f t="shared" si="3"/>
        <v>10.083050847457628</v>
      </c>
      <c r="L99" s="8">
        <v>66.099999999999994</v>
      </c>
      <c r="M99" s="3" t="s">
        <v>19</v>
      </c>
      <c r="N99" s="3">
        <v>202511</v>
      </c>
      <c r="O99" s="3"/>
      <c r="P99" s="3" t="s">
        <v>382</v>
      </c>
      <c r="Q99" s="3" t="s">
        <v>383</v>
      </c>
    </row>
    <row r="100" spans="1:17" s="5" customFormat="1" ht="10.199999999999999" customHeight="1" x14ac:dyDescent="0.2">
      <c r="A100" s="3">
        <v>76668481</v>
      </c>
      <c r="B100" s="3" t="s">
        <v>15</v>
      </c>
      <c r="C100" s="3" t="s">
        <v>42</v>
      </c>
      <c r="D100" s="3" t="s">
        <v>16</v>
      </c>
      <c r="E100" s="3" t="s">
        <v>17</v>
      </c>
      <c r="F100" s="3">
        <v>20567257178</v>
      </c>
      <c r="G100" s="3" t="s">
        <v>267</v>
      </c>
      <c r="H100" s="3">
        <v>20567257178</v>
      </c>
      <c r="I100" s="4">
        <v>46044</v>
      </c>
      <c r="J100" s="7">
        <f t="shared" si="2"/>
        <v>72.033898305084747</v>
      </c>
      <c r="K100" s="7">
        <f t="shared" si="3"/>
        <v>12.966101694915254</v>
      </c>
      <c r="L100" s="8">
        <v>85</v>
      </c>
      <c r="M100" s="3" t="s">
        <v>19</v>
      </c>
      <c r="N100" s="3" t="s">
        <v>142</v>
      </c>
      <c r="O100" s="3"/>
      <c r="P100" s="3" t="s">
        <v>384</v>
      </c>
      <c r="Q100" s="3" t="s">
        <v>385</v>
      </c>
    </row>
    <row r="101" spans="1:17" s="5" customFormat="1" ht="10.199999999999999" customHeight="1" x14ac:dyDescent="0.2">
      <c r="A101" s="3">
        <v>76670868</v>
      </c>
      <c r="B101" s="3" t="s">
        <v>24</v>
      </c>
      <c r="C101" s="3" t="s">
        <v>42</v>
      </c>
      <c r="D101" s="3" t="s">
        <v>16</v>
      </c>
      <c r="E101" s="3" t="s">
        <v>17</v>
      </c>
      <c r="F101" s="3">
        <v>20609309823</v>
      </c>
      <c r="G101" s="3" t="s">
        <v>268</v>
      </c>
      <c r="H101" s="3">
        <v>20609309823</v>
      </c>
      <c r="I101" s="4">
        <v>46044</v>
      </c>
      <c r="J101" s="7">
        <f t="shared" si="2"/>
        <v>63.788135593220339</v>
      </c>
      <c r="K101" s="7">
        <f t="shared" si="3"/>
        <v>11.48186440677966</v>
      </c>
      <c r="L101" s="8">
        <v>75.27</v>
      </c>
      <c r="M101" s="3" t="s">
        <v>19</v>
      </c>
      <c r="N101" s="3" t="s">
        <v>167</v>
      </c>
      <c r="O101" s="3"/>
      <c r="P101" s="3" t="s">
        <v>386</v>
      </c>
      <c r="Q101" s="3" t="s">
        <v>387</v>
      </c>
    </row>
    <row r="102" spans="1:17" s="5" customFormat="1" ht="10.199999999999999" customHeight="1" x14ac:dyDescent="0.2">
      <c r="A102" s="3">
        <v>76671534</v>
      </c>
      <c r="B102" s="3" t="s">
        <v>259</v>
      </c>
      <c r="C102" s="3" t="s">
        <v>42</v>
      </c>
      <c r="D102" s="3" t="s">
        <v>16</v>
      </c>
      <c r="E102" s="3" t="s">
        <v>17</v>
      </c>
      <c r="F102" s="3">
        <v>20611826509</v>
      </c>
      <c r="G102" s="3" t="s">
        <v>269</v>
      </c>
      <c r="H102" s="3">
        <v>20611826509</v>
      </c>
      <c r="I102" s="4">
        <v>46044</v>
      </c>
      <c r="J102" s="7">
        <f t="shared" si="2"/>
        <v>56.016949152542374</v>
      </c>
      <c r="K102" s="7">
        <f t="shared" si="3"/>
        <v>10.083050847457628</v>
      </c>
      <c r="L102" s="8">
        <v>66.099999999999994</v>
      </c>
      <c r="M102" s="3" t="s">
        <v>19</v>
      </c>
      <c r="N102" s="3">
        <v>202511</v>
      </c>
      <c r="O102" s="3"/>
      <c r="P102" s="3"/>
      <c r="Q102" s="3" t="s">
        <v>388</v>
      </c>
    </row>
    <row r="103" spans="1:17" s="5" customFormat="1" ht="10.199999999999999" customHeight="1" x14ac:dyDescent="0.2">
      <c r="A103" s="3">
        <v>76667806</v>
      </c>
      <c r="B103" s="3" t="s">
        <v>259</v>
      </c>
      <c r="C103" s="3" t="s">
        <v>42</v>
      </c>
      <c r="D103" s="3" t="s">
        <v>16</v>
      </c>
      <c r="E103" s="3" t="s">
        <v>17</v>
      </c>
      <c r="F103" s="3">
        <v>20534796855</v>
      </c>
      <c r="G103" s="3" t="s">
        <v>270</v>
      </c>
      <c r="H103" s="3">
        <v>20534796855</v>
      </c>
      <c r="I103" s="4">
        <v>46044</v>
      </c>
      <c r="J103" s="7">
        <f t="shared" si="2"/>
        <v>56.016949152542374</v>
      </c>
      <c r="K103" s="7">
        <f t="shared" si="3"/>
        <v>10.083050847457628</v>
      </c>
      <c r="L103" s="8">
        <v>66.099999999999994</v>
      </c>
      <c r="M103" s="3" t="s">
        <v>19</v>
      </c>
      <c r="N103" s="3">
        <v>202511</v>
      </c>
      <c r="O103" s="3"/>
      <c r="P103" s="3"/>
      <c r="Q103" s="3" t="s">
        <v>389</v>
      </c>
    </row>
    <row r="104" spans="1:17" s="5" customFormat="1" ht="10.199999999999999" customHeight="1" x14ac:dyDescent="0.2">
      <c r="A104" s="3">
        <v>76666856</v>
      </c>
      <c r="B104" s="3" t="s">
        <v>259</v>
      </c>
      <c r="C104" s="3" t="s">
        <v>42</v>
      </c>
      <c r="D104" s="3" t="s">
        <v>16</v>
      </c>
      <c r="E104" s="3" t="s">
        <v>17</v>
      </c>
      <c r="F104" s="3">
        <v>20393042100</v>
      </c>
      <c r="G104" s="3" t="s">
        <v>271</v>
      </c>
      <c r="H104" s="3">
        <v>20393042100</v>
      </c>
      <c r="I104" s="4">
        <v>46045</v>
      </c>
      <c r="J104" s="7">
        <f t="shared" si="2"/>
        <v>56.016949152542374</v>
      </c>
      <c r="K104" s="7">
        <f t="shared" si="3"/>
        <v>10.083050847457628</v>
      </c>
      <c r="L104" s="8">
        <v>66.099999999999994</v>
      </c>
      <c r="M104" s="3" t="s">
        <v>19</v>
      </c>
      <c r="N104" s="3">
        <v>202511</v>
      </c>
      <c r="O104" s="3"/>
      <c r="P104" s="3"/>
      <c r="Q104" s="3" t="s">
        <v>390</v>
      </c>
    </row>
    <row r="105" spans="1:17" s="5" customFormat="1" ht="10.199999999999999" customHeight="1" x14ac:dyDescent="0.2">
      <c r="A105" s="3">
        <v>76668286</v>
      </c>
      <c r="B105" s="3" t="s">
        <v>259</v>
      </c>
      <c r="C105" s="3" t="s">
        <v>42</v>
      </c>
      <c r="D105" s="3" t="s">
        <v>16</v>
      </c>
      <c r="E105" s="3" t="s">
        <v>17</v>
      </c>
      <c r="F105" s="3">
        <v>20555612142</v>
      </c>
      <c r="G105" s="3" t="s">
        <v>272</v>
      </c>
      <c r="H105" s="3">
        <v>20555612142</v>
      </c>
      <c r="I105" s="4">
        <v>46045</v>
      </c>
      <c r="J105" s="7">
        <f t="shared" si="2"/>
        <v>56.016949152542374</v>
      </c>
      <c r="K105" s="7">
        <f t="shared" si="3"/>
        <v>10.083050847457628</v>
      </c>
      <c r="L105" s="8">
        <v>66.099999999999994</v>
      </c>
      <c r="M105" s="3" t="s">
        <v>19</v>
      </c>
      <c r="N105" s="3">
        <v>202511</v>
      </c>
      <c r="O105" s="3"/>
      <c r="P105" s="3"/>
      <c r="Q105" s="3" t="s">
        <v>391</v>
      </c>
    </row>
    <row r="106" spans="1:17" s="5" customFormat="1" ht="10.199999999999999" customHeight="1" x14ac:dyDescent="0.2">
      <c r="A106" s="3">
        <v>76666407</v>
      </c>
      <c r="B106" s="3" t="s">
        <v>15</v>
      </c>
      <c r="C106" s="3" t="s">
        <v>42</v>
      </c>
      <c r="D106" s="3" t="s">
        <v>16</v>
      </c>
      <c r="E106" s="3" t="s">
        <v>17</v>
      </c>
      <c r="F106" s="3">
        <v>25753474</v>
      </c>
      <c r="G106" s="3" t="s">
        <v>273</v>
      </c>
      <c r="H106" s="3">
        <v>10257534745</v>
      </c>
      <c r="I106" s="4">
        <v>46045</v>
      </c>
      <c r="J106" s="7">
        <f t="shared" si="2"/>
        <v>56.016949152542374</v>
      </c>
      <c r="K106" s="7">
        <f t="shared" si="3"/>
        <v>10.083050847457628</v>
      </c>
      <c r="L106" s="8">
        <v>66.099999999999994</v>
      </c>
      <c r="M106" s="3" t="s">
        <v>19</v>
      </c>
      <c r="N106" s="3" t="s">
        <v>142</v>
      </c>
      <c r="O106" s="3"/>
      <c r="P106" s="3" t="s">
        <v>392</v>
      </c>
      <c r="Q106" s="3" t="s">
        <v>393</v>
      </c>
    </row>
    <row r="107" spans="1:17" s="5" customFormat="1" ht="10.199999999999999" customHeight="1" x14ac:dyDescent="0.2">
      <c r="A107" s="3">
        <v>76697684</v>
      </c>
      <c r="B107" s="3" t="s">
        <v>258</v>
      </c>
      <c r="C107" s="3" t="s">
        <v>42</v>
      </c>
      <c r="D107" s="3" t="s">
        <v>29</v>
      </c>
      <c r="E107" s="3" t="s">
        <v>30</v>
      </c>
      <c r="F107" s="3">
        <v>20106873900</v>
      </c>
      <c r="G107" s="3" t="s">
        <v>274</v>
      </c>
      <c r="H107" s="3">
        <v>20106873900</v>
      </c>
      <c r="I107" s="4">
        <v>46041</v>
      </c>
      <c r="J107" s="7">
        <f t="shared" si="2"/>
        <v>56.016949152542374</v>
      </c>
      <c r="K107" s="7">
        <f t="shared" si="3"/>
        <v>10.083050847457628</v>
      </c>
      <c r="L107" s="8">
        <v>66.099999999999994</v>
      </c>
      <c r="M107" s="3" t="s">
        <v>19</v>
      </c>
      <c r="N107" s="3">
        <v>202511</v>
      </c>
      <c r="O107" s="3"/>
      <c r="P107" s="3" t="s">
        <v>394</v>
      </c>
      <c r="Q107" s="3" t="s">
        <v>395</v>
      </c>
    </row>
    <row r="108" spans="1:17" s="5" customFormat="1" ht="10.199999999999999" customHeight="1" x14ac:dyDescent="0.2">
      <c r="A108" s="3">
        <v>76669832</v>
      </c>
      <c r="B108" s="3" t="s">
        <v>15</v>
      </c>
      <c r="C108" s="3" t="s">
        <v>42</v>
      </c>
      <c r="D108" s="3" t="s">
        <v>16</v>
      </c>
      <c r="E108" s="3" t="s">
        <v>17</v>
      </c>
      <c r="F108" s="3">
        <v>20604803625</v>
      </c>
      <c r="G108" s="3" t="s">
        <v>275</v>
      </c>
      <c r="H108" s="3">
        <v>20604803625</v>
      </c>
      <c r="I108" s="4">
        <v>46045</v>
      </c>
      <c r="J108" s="7">
        <f t="shared" si="2"/>
        <v>56.016949152542374</v>
      </c>
      <c r="K108" s="7">
        <f t="shared" si="3"/>
        <v>10.083050847457628</v>
      </c>
      <c r="L108" s="8">
        <v>66.099999999999994</v>
      </c>
      <c r="M108" s="3" t="s">
        <v>19</v>
      </c>
      <c r="N108" s="3">
        <v>202511</v>
      </c>
      <c r="O108" s="3"/>
      <c r="P108" s="3" t="s">
        <v>396</v>
      </c>
      <c r="Q108" s="3" t="s">
        <v>397</v>
      </c>
    </row>
    <row r="109" spans="1:17" s="5" customFormat="1" ht="10.199999999999999" customHeight="1" x14ac:dyDescent="0.2">
      <c r="A109" s="3">
        <v>76680507</v>
      </c>
      <c r="B109" s="3" t="s">
        <v>24</v>
      </c>
      <c r="C109" s="3" t="s">
        <v>42</v>
      </c>
      <c r="D109" s="3" t="s">
        <v>26</v>
      </c>
      <c r="E109" s="3" t="s">
        <v>27</v>
      </c>
      <c r="F109" s="3">
        <v>20549168923</v>
      </c>
      <c r="G109" s="3" t="s">
        <v>276</v>
      </c>
      <c r="H109" s="3">
        <v>20549168923</v>
      </c>
      <c r="I109" s="4">
        <v>46045</v>
      </c>
      <c r="J109" s="7">
        <f t="shared" si="2"/>
        <v>56.016949152542374</v>
      </c>
      <c r="K109" s="7">
        <f t="shared" si="3"/>
        <v>10.083050847457628</v>
      </c>
      <c r="L109" s="8">
        <v>66.099999999999994</v>
      </c>
      <c r="M109" s="3" t="s">
        <v>19</v>
      </c>
      <c r="N109" s="3">
        <v>201705</v>
      </c>
      <c r="O109" s="3"/>
      <c r="P109" s="3" t="s">
        <v>398</v>
      </c>
      <c r="Q109" s="3" t="s">
        <v>399</v>
      </c>
    </row>
    <row r="110" spans="1:17" s="5" customFormat="1" ht="10.199999999999999" customHeight="1" x14ac:dyDescent="0.2">
      <c r="A110" s="3">
        <v>76668439</v>
      </c>
      <c r="B110" s="3" t="s">
        <v>15</v>
      </c>
      <c r="C110" s="3" t="s">
        <v>42</v>
      </c>
      <c r="D110" s="3" t="s">
        <v>16</v>
      </c>
      <c r="E110" s="3" t="s">
        <v>17</v>
      </c>
      <c r="F110" s="3">
        <v>20564338215</v>
      </c>
      <c r="G110" s="3" t="s">
        <v>277</v>
      </c>
      <c r="H110" s="3">
        <v>20564338215</v>
      </c>
      <c r="I110" s="4">
        <v>46041</v>
      </c>
      <c r="J110" s="7">
        <f t="shared" si="2"/>
        <v>56.016949152542374</v>
      </c>
      <c r="K110" s="7">
        <f t="shared" si="3"/>
        <v>10.083050847457628</v>
      </c>
      <c r="L110" s="8">
        <v>66.099999999999994</v>
      </c>
      <c r="M110" s="3" t="s">
        <v>19</v>
      </c>
      <c r="N110" s="3" t="s">
        <v>142</v>
      </c>
      <c r="O110" s="3"/>
      <c r="P110" s="3" t="s">
        <v>400</v>
      </c>
      <c r="Q110" s="3" t="s">
        <v>401</v>
      </c>
    </row>
    <row r="111" spans="1:17" s="5" customFormat="1" ht="10.199999999999999" customHeight="1" x14ac:dyDescent="0.2">
      <c r="A111" s="3">
        <v>76668272</v>
      </c>
      <c r="B111" s="3" t="s">
        <v>15</v>
      </c>
      <c r="C111" s="3" t="s">
        <v>42</v>
      </c>
      <c r="D111" s="3" t="s">
        <v>16</v>
      </c>
      <c r="E111" s="3" t="s">
        <v>17</v>
      </c>
      <c r="F111" s="3">
        <v>20555041722</v>
      </c>
      <c r="G111" s="3" t="s">
        <v>278</v>
      </c>
      <c r="H111" s="3">
        <v>20555041722</v>
      </c>
      <c r="I111" s="4">
        <v>46045</v>
      </c>
      <c r="J111" s="7">
        <f t="shared" si="2"/>
        <v>254.23728813559325</v>
      </c>
      <c r="K111" s="7">
        <f t="shared" si="3"/>
        <v>45.762711864406782</v>
      </c>
      <c r="L111" s="8">
        <v>300</v>
      </c>
      <c r="M111" s="3" t="s">
        <v>19</v>
      </c>
      <c r="N111" s="3" t="s">
        <v>145</v>
      </c>
      <c r="O111" s="3"/>
      <c r="P111" s="3" t="s">
        <v>402</v>
      </c>
      <c r="Q111" s="3" t="s">
        <v>403</v>
      </c>
    </row>
    <row r="112" spans="1:17" s="5" customFormat="1" ht="10.199999999999999" customHeight="1" x14ac:dyDescent="0.2">
      <c r="A112" s="3">
        <v>76669009</v>
      </c>
      <c r="B112" s="3" t="s">
        <v>258</v>
      </c>
      <c r="C112" s="3" t="s">
        <v>42</v>
      </c>
      <c r="D112" s="3" t="s">
        <v>16</v>
      </c>
      <c r="E112" s="3" t="s">
        <v>17</v>
      </c>
      <c r="F112" s="3">
        <v>20601550335</v>
      </c>
      <c r="G112" s="3" t="s">
        <v>279</v>
      </c>
      <c r="H112" s="3">
        <v>20601550335</v>
      </c>
      <c r="I112" s="4">
        <v>46037</v>
      </c>
      <c r="J112" s="7">
        <f t="shared" si="2"/>
        <v>56.016949152542374</v>
      </c>
      <c r="K112" s="7">
        <f t="shared" si="3"/>
        <v>10.083050847457628</v>
      </c>
      <c r="L112" s="8">
        <v>66.099999999999994</v>
      </c>
      <c r="M112" s="3" t="s">
        <v>19</v>
      </c>
      <c r="N112" s="3">
        <v>202511</v>
      </c>
      <c r="O112" s="3"/>
      <c r="P112" s="3" t="s">
        <v>404</v>
      </c>
      <c r="Q112" s="3" t="s">
        <v>405</v>
      </c>
    </row>
    <row r="113" spans="1:17" s="5" customFormat="1" ht="10.199999999999999" customHeight="1" x14ac:dyDescent="0.2">
      <c r="A113" s="3">
        <v>76671328</v>
      </c>
      <c r="B113" s="3" t="s">
        <v>259</v>
      </c>
      <c r="C113" s="3" t="s">
        <v>42</v>
      </c>
      <c r="D113" s="3" t="s">
        <v>16</v>
      </c>
      <c r="E113" s="3" t="s">
        <v>17</v>
      </c>
      <c r="F113" s="3">
        <v>20611010690</v>
      </c>
      <c r="G113" s="3" t="s">
        <v>280</v>
      </c>
      <c r="H113" s="3">
        <v>20611010690</v>
      </c>
      <c r="I113" s="4">
        <v>46045</v>
      </c>
      <c r="J113" s="7">
        <f t="shared" si="2"/>
        <v>56.016949152542374</v>
      </c>
      <c r="K113" s="7">
        <f t="shared" si="3"/>
        <v>10.083050847457628</v>
      </c>
      <c r="L113" s="8">
        <v>66.099999999999994</v>
      </c>
      <c r="M113" s="3" t="s">
        <v>19</v>
      </c>
      <c r="N113" s="3">
        <v>202511</v>
      </c>
      <c r="O113" s="3"/>
      <c r="P113" s="3"/>
      <c r="Q113" s="3" t="s">
        <v>406</v>
      </c>
    </row>
    <row r="114" spans="1:17" s="5" customFormat="1" ht="10.199999999999999" customHeight="1" x14ac:dyDescent="0.2">
      <c r="A114" s="3">
        <v>76667358</v>
      </c>
      <c r="B114" s="3" t="s">
        <v>24</v>
      </c>
      <c r="C114" s="3" t="s">
        <v>42</v>
      </c>
      <c r="D114" s="3" t="s">
        <v>16</v>
      </c>
      <c r="E114" s="3" t="s">
        <v>17</v>
      </c>
      <c r="F114" s="3">
        <v>20505392702</v>
      </c>
      <c r="G114" s="3" t="s">
        <v>281</v>
      </c>
      <c r="H114" s="3">
        <v>20505392702</v>
      </c>
      <c r="I114" s="4">
        <v>46045</v>
      </c>
      <c r="J114" s="7">
        <f t="shared" si="2"/>
        <v>67.79661016949153</v>
      </c>
      <c r="K114" s="7">
        <f t="shared" si="3"/>
        <v>12.203389830508474</v>
      </c>
      <c r="L114" s="8">
        <v>80</v>
      </c>
      <c r="M114" s="3" t="s">
        <v>19</v>
      </c>
      <c r="N114" s="3">
        <v>202511</v>
      </c>
      <c r="O114" s="3"/>
      <c r="P114" s="3" t="s">
        <v>407</v>
      </c>
      <c r="Q114" s="3" t="s">
        <v>408</v>
      </c>
    </row>
    <row r="115" spans="1:17" s="5" customFormat="1" ht="10.199999999999999" customHeight="1" x14ac:dyDescent="0.2">
      <c r="A115" s="3">
        <v>76667636</v>
      </c>
      <c r="B115" s="3" t="s">
        <v>15</v>
      </c>
      <c r="C115" s="3" t="s">
        <v>42</v>
      </c>
      <c r="D115" s="3" t="s">
        <v>16</v>
      </c>
      <c r="E115" s="3" t="s">
        <v>17</v>
      </c>
      <c r="F115" s="3">
        <v>20522359441</v>
      </c>
      <c r="G115" s="3" t="s">
        <v>282</v>
      </c>
      <c r="H115" s="3">
        <v>20522359441</v>
      </c>
      <c r="I115" s="4">
        <v>46046</v>
      </c>
      <c r="J115" s="7">
        <f t="shared" si="2"/>
        <v>58.101694915254242</v>
      </c>
      <c r="K115" s="7">
        <f t="shared" si="3"/>
        <v>10.458305084745763</v>
      </c>
      <c r="L115" s="8">
        <v>68.56</v>
      </c>
      <c r="M115" s="3" t="s">
        <v>19</v>
      </c>
      <c r="N115" s="3" t="s">
        <v>167</v>
      </c>
      <c r="O115" s="3"/>
      <c r="P115" s="3" t="s">
        <v>409</v>
      </c>
      <c r="Q115" s="3" t="s">
        <v>410</v>
      </c>
    </row>
    <row r="116" spans="1:17" s="5" customFormat="1" ht="10.199999999999999" customHeight="1" x14ac:dyDescent="0.2">
      <c r="A116" s="3">
        <v>76671715</v>
      </c>
      <c r="B116" s="3" t="s">
        <v>259</v>
      </c>
      <c r="C116" s="3" t="s">
        <v>42</v>
      </c>
      <c r="D116" s="3" t="s">
        <v>16</v>
      </c>
      <c r="E116" s="3" t="s">
        <v>17</v>
      </c>
      <c r="F116" s="3">
        <v>20612506087</v>
      </c>
      <c r="G116" s="3" t="s">
        <v>283</v>
      </c>
      <c r="H116" s="3">
        <v>20612506087</v>
      </c>
      <c r="I116" s="4">
        <v>46045</v>
      </c>
      <c r="J116" s="7">
        <f t="shared" si="2"/>
        <v>56.016949152542374</v>
      </c>
      <c r="K116" s="7">
        <f t="shared" si="3"/>
        <v>10.083050847457628</v>
      </c>
      <c r="L116" s="8">
        <v>66.099999999999994</v>
      </c>
      <c r="M116" s="3" t="s">
        <v>19</v>
      </c>
      <c r="N116" s="3">
        <v>202511</v>
      </c>
      <c r="O116" s="3"/>
      <c r="P116" s="3"/>
      <c r="Q116" s="3" t="s">
        <v>411</v>
      </c>
    </row>
    <row r="117" spans="1:17" s="5" customFormat="1" ht="10.199999999999999" customHeight="1" x14ac:dyDescent="0.2">
      <c r="A117" s="3">
        <v>76670210</v>
      </c>
      <c r="B117" s="3" t="s">
        <v>15</v>
      </c>
      <c r="C117" s="3" t="s">
        <v>42</v>
      </c>
      <c r="D117" s="3" t="s">
        <v>16</v>
      </c>
      <c r="E117" s="3" t="s">
        <v>17</v>
      </c>
      <c r="F117" s="3">
        <v>20606261471</v>
      </c>
      <c r="G117" s="3" t="s">
        <v>284</v>
      </c>
      <c r="H117" s="3">
        <v>20606261471</v>
      </c>
      <c r="I117" s="4">
        <v>46048</v>
      </c>
      <c r="J117" s="7">
        <f t="shared" si="2"/>
        <v>63.559322033898312</v>
      </c>
      <c r="K117" s="7">
        <f t="shared" si="3"/>
        <v>11.440677966101696</v>
      </c>
      <c r="L117" s="8">
        <v>75</v>
      </c>
      <c r="M117" s="3" t="s">
        <v>19</v>
      </c>
      <c r="N117" s="3">
        <v>202511</v>
      </c>
      <c r="O117" s="3"/>
      <c r="P117" s="3" t="s">
        <v>412</v>
      </c>
      <c r="Q117" s="3" t="s">
        <v>413</v>
      </c>
    </row>
    <row r="118" spans="1:17" s="5" customFormat="1" ht="10.199999999999999" customHeight="1" x14ac:dyDescent="0.2">
      <c r="A118" s="3">
        <v>76666707</v>
      </c>
      <c r="B118" s="3" t="s">
        <v>259</v>
      </c>
      <c r="C118" s="3" t="s">
        <v>42</v>
      </c>
      <c r="D118" s="3" t="s">
        <v>16</v>
      </c>
      <c r="E118" s="3" t="s">
        <v>17</v>
      </c>
      <c r="F118" s="3">
        <v>20107086995</v>
      </c>
      <c r="G118" s="3" t="s">
        <v>285</v>
      </c>
      <c r="H118" s="3">
        <v>20107086995</v>
      </c>
      <c r="I118" s="4">
        <v>46048</v>
      </c>
      <c r="J118" s="7">
        <f t="shared" si="2"/>
        <v>56.016949152542374</v>
      </c>
      <c r="K118" s="7">
        <f t="shared" si="3"/>
        <v>10.083050847457628</v>
      </c>
      <c r="L118" s="8">
        <v>66.099999999999994</v>
      </c>
      <c r="M118" s="3" t="s">
        <v>19</v>
      </c>
      <c r="N118" s="3">
        <v>202511</v>
      </c>
      <c r="O118" s="3"/>
      <c r="P118" s="3"/>
      <c r="Q118" s="3" t="s">
        <v>414</v>
      </c>
    </row>
    <row r="119" spans="1:17" s="5" customFormat="1" ht="10.199999999999999" customHeight="1" x14ac:dyDescent="0.2">
      <c r="A119" s="3">
        <v>76666245</v>
      </c>
      <c r="B119" s="3" t="s">
        <v>259</v>
      </c>
      <c r="C119" s="3" t="s">
        <v>42</v>
      </c>
      <c r="D119" s="3" t="s">
        <v>16</v>
      </c>
      <c r="E119" s="3" t="s">
        <v>17</v>
      </c>
      <c r="F119" s="3">
        <v>4822038</v>
      </c>
      <c r="G119" s="3" t="s">
        <v>286</v>
      </c>
      <c r="H119" s="3">
        <v>10048220385</v>
      </c>
      <c r="I119" s="4">
        <v>46044</v>
      </c>
      <c r="J119" s="7">
        <f t="shared" si="2"/>
        <v>56.016949152542374</v>
      </c>
      <c r="K119" s="7">
        <f t="shared" si="3"/>
        <v>10.083050847457628</v>
      </c>
      <c r="L119" s="8">
        <v>66.099999999999994</v>
      </c>
      <c r="M119" s="3" t="s">
        <v>19</v>
      </c>
      <c r="N119" s="3">
        <v>202511</v>
      </c>
      <c r="O119" s="3"/>
      <c r="P119" s="3"/>
      <c r="Q119" s="3" t="s">
        <v>415</v>
      </c>
    </row>
    <row r="120" spans="1:17" s="5" customFormat="1" ht="10.199999999999999" customHeight="1" x14ac:dyDescent="0.2">
      <c r="A120" s="3">
        <v>76671029</v>
      </c>
      <c r="B120" s="3" t="s">
        <v>15</v>
      </c>
      <c r="C120" s="3" t="s">
        <v>42</v>
      </c>
      <c r="D120" s="3" t="s">
        <v>16</v>
      </c>
      <c r="E120" s="3" t="s">
        <v>17</v>
      </c>
      <c r="F120" s="3">
        <v>20609870151</v>
      </c>
      <c r="G120" s="3" t="s">
        <v>287</v>
      </c>
      <c r="H120" s="3">
        <v>20609870151</v>
      </c>
      <c r="I120" s="4">
        <v>46048</v>
      </c>
      <c r="J120" s="7">
        <f t="shared" si="2"/>
        <v>79.66101694915254</v>
      </c>
      <c r="K120" s="7">
        <f t="shared" si="3"/>
        <v>14.338983050847457</v>
      </c>
      <c r="L120" s="8">
        <v>94</v>
      </c>
      <c r="M120" s="3" t="s">
        <v>19</v>
      </c>
      <c r="N120" s="3">
        <v>202511</v>
      </c>
      <c r="O120" s="3"/>
      <c r="P120" s="3" t="s">
        <v>416</v>
      </c>
      <c r="Q120" s="3" t="s">
        <v>417</v>
      </c>
    </row>
    <row r="121" spans="1:17" s="5" customFormat="1" ht="10.199999999999999" customHeight="1" x14ac:dyDescent="0.2">
      <c r="A121" s="3">
        <v>76667757</v>
      </c>
      <c r="B121" s="3" t="s">
        <v>15</v>
      </c>
      <c r="C121" s="3" t="s">
        <v>42</v>
      </c>
      <c r="D121" s="3" t="s">
        <v>16</v>
      </c>
      <c r="E121" s="3" t="s">
        <v>17</v>
      </c>
      <c r="F121" s="3">
        <v>20529997583</v>
      </c>
      <c r="G121" s="3" t="s">
        <v>288</v>
      </c>
      <c r="H121" s="3">
        <v>20529997583</v>
      </c>
      <c r="I121" s="4">
        <v>46048</v>
      </c>
      <c r="J121" s="7">
        <f t="shared" si="2"/>
        <v>78.813559322033896</v>
      </c>
      <c r="K121" s="7">
        <f t="shared" si="3"/>
        <v>14.1864406779661</v>
      </c>
      <c r="L121" s="8">
        <v>93</v>
      </c>
      <c r="M121" s="3" t="s">
        <v>19</v>
      </c>
      <c r="N121" s="3" t="s">
        <v>142</v>
      </c>
      <c r="O121" s="3"/>
      <c r="P121" s="3" t="s">
        <v>418</v>
      </c>
      <c r="Q121" s="3" t="s">
        <v>419</v>
      </c>
    </row>
    <row r="122" spans="1:17" s="5" customFormat="1" ht="10.199999999999999" customHeight="1" x14ac:dyDescent="0.2">
      <c r="A122" s="3">
        <v>76671859</v>
      </c>
      <c r="B122" s="3" t="s">
        <v>258</v>
      </c>
      <c r="C122" s="3" t="s">
        <v>42</v>
      </c>
      <c r="D122" s="3" t="s">
        <v>16</v>
      </c>
      <c r="E122" s="3" t="s">
        <v>17</v>
      </c>
      <c r="F122" s="3">
        <v>20613065912</v>
      </c>
      <c r="G122" s="3" t="s">
        <v>289</v>
      </c>
      <c r="H122" s="3">
        <v>20613065912</v>
      </c>
      <c r="I122" s="4">
        <v>46048</v>
      </c>
      <c r="J122" s="7">
        <f t="shared" si="2"/>
        <v>56.016949152542374</v>
      </c>
      <c r="K122" s="7">
        <f t="shared" si="3"/>
        <v>10.083050847457628</v>
      </c>
      <c r="L122" s="8">
        <v>66.099999999999994</v>
      </c>
      <c r="M122" s="3" t="s">
        <v>19</v>
      </c>
      <c r="N122" s="3">
        <v>202511</v>
      </c>
      <c r="O122" s="3"/>
      <c r="P122" s="3" t="s">
        <v>420</v>
      </c>
      <c r="Q122" s="3" t="s">
        <v>421</v>
      </c>
    </row>
    <row r="123" spans="1:17" s="5" customFormat="1" ht="10.199999999999999" customHeight="1" x14ac:dyDescent="0.2">
      <c r="A123" s="3">
        <v>76680532</v>
      </c>
      <c r="B123" s="3" t="s">
        <v>15</v>
      </c>
      <c r="C123" s="3" t="s">
        <v>42</v>
      </c>
      <c r="D123" s="3" t="s">
        <v>26</v>
      </c>
      <c r="E123" s="3" t="s">
        <v>27</v>
      </c>
      <c r="F123" s="3">
        <v>20568004681</v>
      </c>
      <c r="G123" s="3" t="s">
        <v>290</v>
      </c>
      <c r="H123" s="3">
        <v>20568004681</v>
      </c>
      <c r="I123" s="4">
        <v>46048</v>
      </c>
      <c r="J123" s="7">
        <f t="shared" si="2"/>
        <v>338.98305084745766</v>
      </c>
      <c r="K123" s="7">
        <f t="shared" si="3"/>
        <v>61.016949152542374</v>
      </c>
      <c r="L123" s="8">
        <v>400</v>
      </c>
      <c r="M123" s="3" t="s">
        <v>19</v>
      </c>
      <c r="N123" s="3" t="s">
        <v>422</v>
      </c>
      <c r="O123" s="3"/>
      <c r="P123" s="3" t="s">
        <v>423</v>
      </c>
      <c r="Q123" s="3" t="s">
        <v>424</v>
      </c>
    </row>
    <row r="124" spans="1:17" s="5" customFormat="1" ht="10.199999999999999" customHeight="1" x14ac:dyDescent="0.2">
      <c r="A124" s="3">
        <v>76671483</v>
      </c>
      <c r="B124" s="3" t="s">
        <v>15</v>
      </c>
      <c r="C124" s="3" t="s">
        <v>42</v>
      </c>
      <c r="D124" s="3" t="s">
        <v>16</v>
      </c>
      <c r="E124" s="3" t="s">
        <v>17</v>
      </c>
      <c r="F124" s="3">
        <v>20611630850</v>
      </c>
      <c r="G124" s="3" t="s">
        <v>291</v>
      </c>
      <c r="H124" s="3">
        <v>20611630850</v>
      </c>
      <c r="I124" s="4">
        <v>46048</v>
      </c>
      <c r="J124" s="7">
        <f t="shared" si="2"/>
        <v>56.779661016949156</v>
      </c>
      <c r="K124" s="7">
        <f t="shared" si="3"/>
        <v>10.220338983050848</v>
      </c>
      <c r="L124" s="8">
        <v>67</v>
      </c>
      <c r="M124" s="3" t="s">
        <v>19</v>
      </c>
      <c r="N124" s="3">
        <v>202510</v>
      </c>
      <c r="O124" s="3"/>
      <c r="P124" s="3" t="s">
        <v>425</v>
      </c>
      <c r="Q124" s="3" t="s">
        <v>426</v>
      </c>
    </row>
    <row r="125" spans="1:17" s="5" customFormat="1" ht="10.199999999999999" customHeight="1" x14ac:dyDescent="0.2">
      <c r="A125" s="3">
        <v>76667083</v>
      </c>
      <c r="B125" s="3" t="s">
        <v>259</v>
      </c>
      <c r="C125" s="3" t="s">
        <v>42</v>
      </c>
      <c r="D125" s="3" t="s">
        <v>16</v>
      </c>
      <c r="E125" s="3" t="s">
        <v>17</v>
      </c>
      <c r="F125" s="3">
        <v>20477592342</v>
      </c>
      <c r="G125" s="3" t="s">
        <v>292</v>
      </c>
      <c r="H125" s="3">
        <v>20477592342</v>
      </c>
      <c r="I125" s="4">
        <v>46048</v>
      </c>
      <c r="J125" s="7">
        <f t="shared" si="2"/>
        <v>80.694915254237287</v>
      </c>
      <c r="K125" s="7">
        <f t="shared" si="3"/>
        <v>14.525084745762712</v>
      </c>
      <c r="L125" s="8">
        <v>95.22</v>
      </c>
      <c r="M125" s="3" t="s">
        <v>18</v>
      </c>
      <c r="N125" s="3" t="s">
        <v>142</v>
      </c>
      <c r="O125" s="3" t="s">
        <v>140</v>
      </c>
      <c r="P125" s="3"/>
      <c r="Q125" s="3" t="s">
        <v>427</v>
      </c>
    </row>
    <row r="126" spans="1:17" s="5" customFormat="1" ht="10.199999999999999" customHeight="1" x14ac:dyDescent="0.2">
      <c r="A126" s="3">
        <v>76667022</v>
      </c>
      <c r="B126" s="3" t="s">
        <v>259</v>
      </c>
      <c r="C126" s="3" t="s">
        <v>42</v>
      </c>
      <c r="D126" s="3" t="s">
        <v>16</v>
      </c>
      <c r="E126" s="3" t="s">
        <v>17</v>
      </c>
      <c r="F126" s="3">
        <v>20454837038</v>
      </c>
      <c r="G126" s="3" t="s">
        <v>293</v>
      </c>
      <c r="H126" s="3">
        <v>20454837038</v>
      </c>
      <c r="I126" s="4">
        <v>46049</v>
      </c>
      <c r="J126" s="7">
        <f t="shared" si="2"/>
        <v>56.016949152542374</v>
      </c>
      <c r="K126" s="7">
        <f t="shared" si="3"/>
        <v>10.083050847457628</v>
      </c>
      <c r="L126" s="8">
        <v>66.099999999999994</v>
      </c>
      <c r="M126" s="3" t="s">
        <v>19</v>
      </c>
      <c r="N126" s="3">
        <v>202511</v>
      </c>
      <c r="O126" s="3"/>
      <c r="P126" s="3"/>
      <c r="Q126" s="3" t="s">
        <v>428</v>
      </c>
    </row>
    <row r="127" spans="1:17" s="5" customFormat="1" ht="10.199999999999999" customHeight="1" x14ac:dyDescent="0.2">
      <c r="A127" s="3">
        <v>76671315</v>
      </c>
      <c r="B127" s="3" t="s">
        <v>259</v>
      </c>
      <c r="C127" s="3" t="s">
        <v>42</v>
      </c>
      <c r="D127" s="3" t="s">
        <v>16</v>
      </c>
      <c r="E127" s="3" t="s">
        <v>17</v>
      </c>
      <c r="F127" s="3">
        <v>20610959106</v>
      </c>
      <c r="G127" s="3" t="s">
        <v>294</v>
      </c>
      <c r="H127" s="3">
        <v>20610959106</v>
      </c>
      <c r="I127" s="4">
        <v>46049</v>
      </c>
      <c r="J127" s="7">
        <f t="shared" si="2"/>
        <v>56.016949152542374</v>
      </c>
      <c r="K127" s="7">
        <f t="shared" si="3"/>
        <v>10.083050847457628</v>
      </c>
      <c r="L127" s="8">
        <v>66.099999999999994</v>
      </c>
      <c r="M127" s="3" t="s">
        <v>19</v>
      </c>
      <c r="N127" s="3">
        <v>202511</v>
      </c>
      <c r="O127" s="3"/>
      <c r="P127" s="3" t="s">
        <v>429</v>
      </c>
      <c r="Q127" s="3" t="s">
        <v>430</v>
      </c>
    </row>
    <row r="128" spans="1:17" s="5" customFormat="1" ht="10.199999999999999" customHeight="1" x14ac:dyDescent="0.2">
      <c r="A128" s="3">
        <v>76668701</v>
      </c>
      <c r="B128" s="3" t="s">
        <v>259</v>
      </c>
      <c r="C128" s="3" t="s">
        <v>42</v>
      </c>
      <c r="D128" s="3" t="s">
        <v>16</v>
      </c>
      <c r="E128" s="3" t="s">
        <v>17</v>
      </c>
      <c r="F128" s="3">
        <v>20600530136</v>
      </c>
      <c r="G128" s="3" t="s">
        <v>295</v>
      </c>
      <c r="H128" s="3">
        <v>20600530136</v>
      </c>
      <c r="I128" s="4">
        <v>46049</v>
      </c>
      <c r="J128" s="7">
        <f t="shared" si="2"/>
        <v>112.61864406779661</v>
      </c>
      <c r="K128" s="7">
        <f t="shared" si="3"/>
        <v>20.271355932203388</v>
      </c>
      <c r="L128" s="8">
        <v>132.88999999999999</v>
      </c>
      <c r="M128" s="3" t="s">
        <v>19</v>
      </c>
      <c r="N128" s="3">
        <v>202511</v>
      </c>
      <c r="O128" s="3"/>
      <c r="P128" s="3"/>
      <c r="Q128" s="3" t="s">
        <v>431</v>
      </c>
    </row>
    <row r="129" spans="1:17" s="5" customFormat="1" ht="10.199999999999999" customHeight="1" x14ac:dyDescent="0.2">
      <c r="A129" s="3">
        <v>76671246</v>
      </c>
      <c r="B129" s="3" t="s">
        <v>15</v>
      </c>
      <c r="C129" s="3" t="s">
        <v>42</v>
      </c>
      <c r="D129" s="3" t="s">
        <v>16</v>
      </c>
      <c r="E129" s="3" t="s">
        <v>17</v>
      </c>
      <c r="F129" s="3">
        <v>20610663100</v>
      </c>
      <c r="G129" s="3" t="s">
        <v>296</v>
      </c>
      <c r="H129" s="3">
        <v>20610663100</v>
      </c>
      <c r="I129" s="4">
        <v>46049</v>
      </c>
      <c r="J129" s="7">
        <f t="shared" si="2"/>
        <v>56.016949152542374</v>
      </c>
      <c r="K129" s="7">
        <f t="shared" si="3"/>
        <v>10.083050847457628</v>
      </c>
      <c r="L129" s="8">
        <v>66.099999999999994</v>
      </c>
      <c r="M129" s="3" t="s">
        <v>19</v>
      </c>
      <c r="N129" s="3">
        <v>202511</v>
      </c>
      <c r="O129" s="3"/>
      <c r="P129" s="3" t="s">
        <v>432</v>
      </c>
      <c r="Q129" s="3" t="s">
        <v>433</v>
      </c>
    </row>
    <row r="130" spans="1:17" s="5" customFormat="1" ht="10.199999999999999" customHeight="1" x14ac:dyDescent="0.2">
      <c r="A130" s="3">
        <v>76669045</v>
      </c>
      <c r="B130" s="3" t="s">
        <v>15</v>
      </c>
      <c r="C130" s="3" t="s">
        <v>42</v>
      </c>
      <c r="D130" s="3" t="s">
        <v>16</v>
      </c>
      <c r="E130" s="3" t="s">
        <v>17</v>
      </c>
      <c r="F130" s="3">
        <v>20601686822</v>
      </c>
      <c r="G130" s="3" t="s">
        <v>297</v>
      </c>
      <c r="H130" s="3">
        <v>20601686822</v>
      </c>
      <c r="I130" s="4">
        <v>46049</v>
      </c>
      <c r="J130" s="7">
        <f t="shared" si="2"/>
        <v>56.016949152542374</v>
      </c>
      <c r="K130" s="7">
        <f t="shared" si="3"/>
        <v>10.083050847457628</v>
      </c>
      <c r="L130" s="8">
        <v>66.099999999999994</v>
      </c>
      <c r="M130" s="3" t="s">
        <v>19</v>
      </c>
      <c r="N130" s="3" t="s">
        <v>142</v>
      </c>
      <c r="O130" s="3"/>
      <c r="P130" s="3" t="s">
        <v>434</v>
      </c>
      <c r="Q130" s="3" t="s">
        <v>435</v>
      </c>
    </row>
    <row r="131" spans="1:17" s="5" customFormat="1" ht="10.199999999999999" customHeight="1" x14ac:dyDescent="0.2">
      <c r="A131" s="3">
        <v>76667919</v>
      </c>
      <c r="B131" s="3" t="s">
        <v>15</v>
      </c>
      <c r="C131" s="3" t="s">
        <v>42</v>
      </c>
      <c r="D131" s="3" t="s">
        <v>16</v>
      </c>
      <c r="E131" s="3" t="s">
        <v>17</v>
      </c>
      <c r="F131" s="3">
        <v>20539801636</v>
      </c>
      <c r="G131" s="3" t="s">
        <v>298</v>
      </c>
      <c r="H131" s="3">
        <v>20539801636</v>
      </c>
      <c r="I131" s="4">
        <v>46049</v>
      </c>
      <c r="J131" s="7">
        <f t="shared" si="2"/>
        <v>56.016949152542374</v>
      </c>
      <c r="K131" s="7">
        <f t="shared" si="3"/>
        <v>10.083050847457628</v>
      </c>
      <c r="L131" s="8">
        <v>66.099999999999994</v>
      </c>
      <c r="M131" s="3" t="s">
        <v>19</v>
      </c>
      <c r="N131" s="3">
        <v>202511</v>
      </c>
      <c r="O131" s="3"/>
      <c r="P131" s="3" t="s">
        <v>436</v>
      </c>
      <c r="Q131" s="3" t="s">
        <v>437</v>
      </c>
    </row>
    <row r="132" spans="1:17" s="5" customFormat="1" ht="10.199999999999999" customHeight="1" x14ac:dyDescent="0.2">
      <c r="A132" s="3">
        <v>76671912</v>
      </c>
      <c r="B132" s="3" t="s">
        <v>259</v>
      </c>
      <c r="C132" s="3" t="s">
        <v>42</v>
      </c>
      <c r="D132" s="3" t="s">
        <v>16</v>
      </c>
      <c r="E132" s="3" t="s">
        <v>17</v>
      </c>
      <c r="F132" s="3">
        <v>20613265172</v>
      </c>
      <c r="G132" s="3" t="s">
        <v>299</v>
      </c>
      <c r="H132" s="3">
        <v>20613265172</v>
      </c>
      <c r="I132" s="4">
        <v>46049</v>
      </c>
      <c r="J132" s="7">
        <f t="shared" si="2"/>
        <v>56.016949152542374</v>
      </c>
      <c r="K132" s="7">
        <f t="shared" si="3"/>
        <v>10.083050847457628</v>
      </c>
      <c r="L132" s="8">
        <v>66.099999999999994</v>
      </c>
      <c r="M132" s="3" t="s">
        <v>19</v>
      </c>
      <c r="N132" s="3" t="s">
        <v>142</v>
      </c>
      <c r="O132" s="3"/>
      <c r="P132" s="3" t="s">
        <v>438</v>
      </c>
      <c r="Q132" s="3" t="s">
        <v>439</v>
      </c>
    </row>
    <row r="133" spans="1:17" s="5" customFormat="1" ht="10.199999999999999" customHeight="1" x14ac:dyDescent="0.2">
      <c r="A133" s="3">
        <v>76677161</v>
      </c>
      <c r="B133" s="3" t="s">
        <v>258</v>
      </c>
      <c r="C133" s="3" t="s">
        <v>42</v>
      </c>
      <c r="D133" s="3" t="s">
        <v>20</v>
      </c>
      <c r="E133" s="3" t="s">
        <v>21</v>
      </c>
      <c r="F133" s="3">
        <v>20514258474</v>
      </c>
      <c r="G133" s="3" t="s">
        <v>300</v>
      </c>
      <c r="H133" s="3">
        <v>20514258474</v>
      </c>
      <c r="I133" s="4">
        <v>46049</v>
      </c>
      <c r="J133" s="7">
        <f t="shared" si="2"/>
        <v>1822.0338983050849</v>
      </c>
      <c r="K133" s="7">
        <f t="shared" si="3"/>
        <v>327.96610169491527</v>
      </c>
      <c r="L133" s="8">
        <v>2150</v>
      </c>
      <c r="M133" s="3" t="s">
        <v>33</v>
      </c>
      <c r="N133" s="3"/>
      <c r="O133" s="3"/>
      <c r="P133" s="3"/>
      <c r="Q133" s="3" t="s">
        <v>440</v>
      </c>
    </row>
    <row r="134" spans="1:17" s="5" customFormat="1" ht="10.199999999999999" customHeight="1" x14ac:dyDescent="0.2">
      <c r="A134" s="3">
        <v>76669223</v>
      </c>
      <c r="B134" s="3" t="s">
        <v>258</v>
      </c>
      <c r="C134" s="3" t="s">
        <v>42</v>
      </c>
      <c r="D134" s="3" t="s">
        <v>16</v>
      </c>
      <c r="E134" s="3" t="s">
        <v>17</v>
      </c>
      <c r="F134" s="3">
        <v>20602248331</v>
      </c>
      <c r="G134" s="3" t="s">
        <v>301</v>
      </c>
      <c r="H134" s="3">
        <v>20602248331</v>
      </c>
      <c r="I134" s="4">
        <v>46049</v>
      </c>
      <c r="J134" s="7">
        <f t="shared" si="2"/>
        <v>56.016949152542374</v>
      </c>
      <c r="K134" s="7">
        <f t="shared" si="3"/>
        <v>10.083050847457628</v>
      </c>
      <c r="L134" s="8">
        <v>66.099999999999994</v>
      </c>
      <c r="M134" s="3" t="s">
        <v>19</v>
      </c>
      <c r="N134" s="3">
        <v>202511</v>
      </c>
      <c r="O134" s="3"/>
      <c r="P134" s="3" t="s">
        <v>441</v>
      </c>
      <c r="Q134" s="3" t="s">
        <v>442</v>
      </c>
    </row>
    <row r="135" spans="1:17" s="5" customFormat="1" ht="10.199999999999999" customHeight="1" x14ac:dyDescent="0.2">
      <c r="A135" s="3">
        <v>76672106</v>
      </c>
      <c r="B135" s="3" t="s">
        <v>15</v>
      </c>
      <c r="C135" s="3" t="s">
        <v>42</v>
      </c>
      <c r="D135" s="3" t="s">
        <v>16</v>
      </c>
      <c r="E135" s="3" t="s">
        <v>17</v>
      </c>
      <c r="F135" s="3">
        <v>20614226944</v>
      </c>
      <c r="G135" s="3" t="s">
        <v>302</v>
      </c>
      <c r="H135" s="3">
        <v>20614226944</v>
      </c>
      <c r="I135" s="4">
        <v>46049</v>
      </c>
      <c r="J135" s="7">
        <f t="shared" si="2"/>
        <v>144.06779661016949</v>
      </c>
      <c r="K135" s="7">
        <f t="shared" si="3"/>
        <v>25.932203389830509</v>
      </c>
      <c r="L135" s="8">
        <v>170</v>
      </c>
      <c r="M135" s="3" t="s">
        <v>19</v>
      </c>
      <c r="N135" s="3" t="s">
        <v>167</v>
      </c>
      <c r="O135" s="3"/>
      <c r="P135" s="3" t="s">
        <v>443</v>
      </c>
      <c r="Q135" s="3" t="s">
        <v>486</v>
      </c>
    </row>
    <row r="136" spans="1:17" s="5" customFormat="1" ht="10.199999999999999" customHeight="1" x14ac:dyDescent="0.2">
      <c r="A136" s="3">
        <v>76669599</v>
      </c>
      <c r="B136" s="3" t="s">
        <v>258</v>
      </c>
      <c r="C136" s="3" t="s">
        <v>42</v>
      </c>
      <c r="D136" s="3" t="s">
        <v>16</v>
      </c>
      <c r="E136" s="3" t="s">
        <v>17</v>
      </c>
      <c r="F136" s="3">
        <v>20603628617</v>
      </c>
      <c r="G136" s="3" t="s">
        <v>303</v>
      </c>
      <c r="H136" s="3">
        <v>20603628617</v>
      </c>
      <c r="I136" s="4">
        <v>46050</v>
      </c>
      <c r="J136" s="7">
        <f t="shared" si="2"/>
        <v>65.983050847457633</v>
      </c>
      <c r="K136" s="7">
        <f t="shared" si="3"/>
        <v>11.876949152542373</v>
      </c>
      <c r="L136" s="8">
        <v>77.86</v>
      </c>
      <c r="M136" s="3" t="s">
        <v>18</v>
      </c>
      <c r="N136" s="3">
        <v>202511</v>
      </c>
      <c r="O136" s="3">
        <v>202511</v>
      </c>
      <c r="P136" s="3"/>
      <c r="Q136" s="3" t="s">
        <v>487</v>
      </c>
    </row>
    <row r="137" spans="1:17" s="5" customFormat="1" ht="10.199999999999999" customHeight="1" x14ac:dyDescent="0.2">
      <c r="A137" s="3">
        <v>76667060</v>
      </c>
      <c r="B137" s="3" t="s">
        <v>15</v>
      </c>
      <c r="C137" s="3" t="s">
        <v>42</v>
      </c>
      <c r="D137" s="3" t="s">
        <v>16</v>
      </c>
      <c r="E137" s="3" t="s">
        <v>17</v>
      </c>
      <c r="F137" s="3">
        <v>20467222130</v>
      </c>
      <c r="G137" s="3" t="s">
        <v>304</v>
      </c>
      <c r="H137" s="3">
        <v>20467222130</v>
      </c>
      <c r="I137" s="4">
        <v>46050</v>
      </c>
      <c r="J137" s="7">
        <f t="shared" si="2"/>
        <v>56.016949152542374</v>
      </c>
      <c r="K137" s="7">
        <f t="shared" si="3"/>
        <v>10.083050847457628</v>
      </c>
      <c r="L137" s="8">
        <v>66.099999999999994</v>
      </c>
      <c r="M137" s="3" t="s">
        <v>19</v>
      </c>
      <c r="N137" s="3" t="s">
        <v>142</v>
      </c>
      <c r="O137" s="3"/>
      <c r="P137" s="3" t="s">
        <v>444</v>
      </c>
      <c r="Q137" s="3" t="s">
        <v>445</v>
      </c>
    </row>
    <row r="138" spans="1:17" s="5" customFormat="1" ht="10.199999999999999" customHeight="1" x14ac:dyDescent="0.2">
      <c r="A138" s="3">
        <v>76671573</v>
      </c>
      <c r="B138" s="3" t="s">
        <v>24</v>
      </c>
      <c r="C138" s="3" t="s">
        <v>42</v>
      </c>
      <c r="D138" s="3" t="s">
        <v>16</v>
      </c>
      <c r="E138" s="3" t="s">
        <v>17</v>
      </c>
      <c r="F138" s="3">
        <v>20611963999</v>
      </c>
      <c r="G138" s="3" t="s">
        <v>305</v>
      </c>
      <c r="H138" s="3">
        <v>20611963999</v>
      </c>
      <c r="I138" s="4">
        <v>46050</v>
      </c>
      <c r="J138" s="7">
        <f t="shared" si="2"/>
        <v>96.110169491525426</v>
      </c>
      <c r="K138" s="7">
        <f t="shared" si="3"/>
        <v>17.299830508474574</v>
      </c>
      <c r="L138" s="8">
        <v>113.41</v>
      </c>
      <c r="M138" s="3" t="s">
        <v>19</v>
      </c>
      <c r="N138" s="3">
        <v>202511</v>
      </c>
      <c r="O138" s="3"/>
      <c r="P138" s="3" t="s">
        <v>446</v>
      </c>
      <c r="Q138" s="3" t="s">
        <v>447</v>
      </c>
    </row>
    <row r="139" spans="1:17" s="5" customFormat="1" ht="10.199999999999999" customHeight="1" x14ac:dyDescent="0.2">
      <c r="A139" s="3">
        <v>76667481</v>
      </c>
      <c r="B139" s="3" t="s">
        <v>24</v>
      </c>
      <c r="C139" s="3" t="s">
        <v>42</v>
      </c>
      <c r="D139" s="3" t="s">
        <v>16</v>
      </c>
      <c r="E139" s="3" t="s">
        <v>17</v>
      </c>
      <c r="F139" s="3">
        <v>20513203871</v>
      </c>
      <c r="G139" s="3" t="s">
        <v>306</v>
      </c>
      <c r="H139" s="3">
        <v>20513203871</v>
      </c>
      <c r="I139" s="4">
        <v>46050</v>
      </c>
      <c r="J139" s="7">
        <f t="shared" si="2"/>
        <v>65.254237288135599</v>
      </c>
      <c r="K139" s="7">
        <f t="shared" si="3"/>
        <v>11.745762711864407</v>
      </c>
      <c r="L139" s="8">
        <v>77</v>
      </c>
      <c r="M139" s="3" t="s">
        <v>19</v>
      </c>
      <c r="N139" s="3">
        <v>202511</v>
      </c>
      <c r="O139" s="3"/>
      <c r="P139" s="3" t="s">
        <v>448</v>
      </c>
      <c r="Q139" s="3" t="s">
        <v>449</v>
      </c>
    </row>
    <row r="140" spans="1:17" s="5" customFormat="1" ht="10.199999999999999" customHeight="1" x14ac:dyDescent="0.2">
      <c r="A140" s="3">
        <v>76670299</v>
      </c>
      <c r="B140" s="3" t="s">
        <v>24</v>
      </c>
      <c r="C140" s="3" t="s">
        <v>42</v>
      </c>
      <c r="D140" s="3" t="s">
        <v>16</v>
      </c>
      <c r="E140" s="3" t="s">
        <v>17</v>
      </c>
      <c r="F140" s="3">
        <v>20606648341</v>
      </c>
      <c r="G140" s="3" t="s">
        <v>307</v>
      </c>
      <c r="H140" s="3">
        <v>20606648341</v>
      </c>
      <c r="I140" s="4">
        <v>46050</v>
      </c>
      <c r="J140" s="7">
        <f t="shared" si="2"/>
        <v>56.016949152542374</v>
      </c>
      <c r="K140" s="7">
        <f t="shared" si="3"/>
        <v>10.083050847457628</v>
      </c>
      <c r="L140" s="8">
        <v>66.099999999999994</v>
      </c>
      <c r="M140" s="3" t="s">
        <v>19</v>
      </c>
      <c r="N140" s="3">
        <v>202511</v>
      </c>
      <c r="O140" s="3"/>
      <c r="P140" s="3" t="s">
        <v>450</v>
      </c>
      <c r="Q140" s="3" t="s">
        <v>451</v>
      </c>
    </row>
    <row r="141" spans="1:17" s="5" customFormat="1" ht="10.199999999999999" customHeight="1" x14ac:dyDescent="0.2">
      <c r="A141" s="3">
        <v>76666790</v>
      </c>
      <c r="B141" s="3" t="s">
        <v>259</v>
      </c>
      <c r="C141" s="3" t="s">
        <v>42</v>
      </c>
      <c r="D141" s="3" t="s">
        <v>16</v>
      </c>
      <c r="E141" s="3" t="s">
        <v>17</v>
      </c>
      <c r="F141" s="3">
        <v>20301356952</v>
      </c>
      <c r="G141" s="3" t="s">
        <v>308</v>
      </c>
      <c r="H141" s="3">
        <v>20301356952</v>
      </c>
      <c r="I141" s="4">
        <v>46050</v>
      </c>
      <c r="J141" s="7">
        <f t="shared" si="2"/>
        <v>56.016949152542374</v>
      </c>
      <c r="K141" s="7">
        <f t="shared" si="3"/>
        <v>10.083050847457628</v>
      </c>
      <c r="L141" s="8">
        <v>66.099999999999994</v>
      </c>
      <c r="M141" s="3" t="s">
        <v>19</v>
      </c>
      <c r="N141" s="3">
        <v>202511</v>
      </c>
      <c r="O141" s="3"/>
      <c r="P141" s="3"/>
      <c r="Q141" s="3" t="s">
        <v>452</v>
      </c>
    </row>
    <row r="142" spans="1:17" s="5" customFormat="1" ht="10.199999999999999" customHeight="1" x14ac:dyDescent="0.2">
      <c r="A142" s="3">
        <v>76666521</v>
      </c>
      <c r="B142" s="3" t="s">
        <v>259</v>
      </c>
      <c r="C142" s="3" t="s">
        <v>42</v>
      </c>
      <c r="D142" s="3" t="s">
        <v>16</v>
      </c>
      <c r="E142" s="3" t="s">
        <v>17</v>
      </c>
      <c r="F142" s="3">
        <v>43302890</v>
      </c>
      <c r="G142" s="3" t="s">
        <v>309</v>
      </c>
      <c r="H142" s="3">
        <v>10433028908</v>
      </c>
      <c r="I142" s="4">
        <v>46050</v>
      </c>
      <c r="J142" s="7">
        <f t="shared" si="2"/>
        <v>56.016949152542374</v>
      </c>
      <c r="K142" s="7">
        <f t="shared" si="3"/>
        <v>10.083050847457628</v>
      </c>
      <c r="L142" s="8">
        <v>66.099999999999994</v>
      </c>
      <c r="M142" s="3" t="s">
        <v>19</v>
      </c>
      <c r="N142" s="3">
        <v>202511</v>
      </c>
      <c r="O142" s="3"/>
      <c r="P142" s="3"/>
      <c r="Q142" s="3" t="s">
        <v>453</v>
      </c>
    </row>
    <row r="143" spans="1:17" s="5" customFormat="1" ht="10.199999999999999" customHeight="1" x14ac:dyDescent="0.2">
      <c r="A143" s="3">
        <v>76670454</v>
      </c>
      <c r="B143" s="3" t="s">
        <v>259</v>
      </c>
      <c r="C143" s="3" t="s">
        <v>42</v>
      </c>
      <c r="D143" s="3" t="s">
        <v>16</v>
      </c>
      <c r="E143" s="3" t="s">
        <v>17</v>
      </c>
      <c r="F143" s="3">
        <v>20607583600</v>
      </c>
      <c r="G143" s="3" t="s">
        <v>310</v>
      </c>
      <c r="H143" s="3">
        <v>20607583600</v>
      </c>
      <c r="I143" s="4">
        <v>46050</v>
      </c>
      <c r="J143" s="7">
        <f t="shared" si="2"/>
        <v>56.016949152542374</v>
      </c>
      <c r="K143" s="7">
        <f t="shared" si="3"/>
        <v>10.083050847457628</v>
      </c>
      <c r="L143" s="8">
        <v>66.099999999999994</v>
      </c>
      <c r="M143" s="3" t="s">
        <v>19</v>
      </c>
      <c r="N143" s="3">
        <v>202511</v>
      </c>
      <c r="O143" s="3"/>
      <c r="P143" s="3" t="s">
        <v>454</v>
      </c>
      <c r="Q143" s="3" t="s">
        <v>455</v>
      </c>
    </row>
    <row r="144" spans="1:17" s="5" customFormat="1" ht="10.199999999999999" customHeight="1" x14ac:dyDescent="0.2">
      <c r="A144" s="3">
        <v>76672151</v>
      </c>
      <c r="B144" s="3" t="s">
        <v>24</v>
      </c>
      <c r="C144" s="3" t="s">
        <v>42</v>
      </c>
      <c r="D144" s="3" t="s">
        <v>16</v>
      </c>
      <c r="E144" s="3" t="s">
        <v>17</v>
      </c>
      <c r="F144" s="3">
        <v>20614458896</v>
      </c>
      <c r="G144" s="3" t="s">
        <v>311</v>
      </c>
      <c r="H144" s="3">
        <v>20614458896</v>
      </c>
      <c r="I144" s="4">
        <v>46050</v>
      </c>
      <c r="J144" s="7">
        <f t="shared" si="2"/>
        <v>75.762711864406782</v>
      </c>
      <c r="K144" s="7">
        <f t="shared" si="3"/>
        <v>13.63728813559322</v>
      </c>
      <c r="L144" s="8">
        <v>89.4</v>
      </c>
      <c r="M144" s="3" t="s">
        <v>19</v>
      </c>
      <c r="N144" s="3" t="s">
        <v>142</v>
      </c>
      <c r="O144" s="3"/>
      <c r="P144" s="3" t="s">
        <v>456</v>
      </c>
      <c r="Q144" s="3" t="s">
        <v>488</v>
      </c>
    </row>
    <row r="145" spans="1:17" s="5" customFormat="1" ht="10.199999999999999" customHeight="1" x14ac:dyDescent="0.2">
      <c r="A145" s="3">
        <v>76671287</v>
      </c>
      <c r="B145" s="3" t="s">
        <v>259</v>
      </c>
      <c r="C145" s="3" t="s">
        <v>42</v>
      </c>
      <c r="D145" s="3" t="s">
        <v>16</v>
      </c>
      <c r="E145" s="3" t="s">
        <v>17</v>
      </c>
      <c r="F145" s="3">
        <v>20610827731</v>
      </c>
      <c r="G145" s="3" t="s">
        <v>312</v>
      </c>
      <c r="H145" s="3">
        <v>20610827731</v>
      </c>
      <c r="I145" s="4">
        <v>46051</v>
      </c>
      <c r="J145" s="7">
        <f t="shared" si="2"/>
        <v>56.016949152542374</v>
      </c>
      <c r="K145" s="7">
        <f t="shared" si="3"/>
        <v>10.083050847457628</v>
      </c>
      <c r="L145" s="8">
        <v>66.099999999999994</v>
      </c>
      <c r="M145" s="3" t="s">
        <v>19</v>
      </c>
      <c r="N145" s="3" t="s">
        <v>142</v>
      </c>
      <c r="O145" s="3"/>
      <c r="P145" s="3"/>
      <c r="Q145" s="3" t="s">
        <v>489</v>
      </c>
    </row>
    <row r="146" spans="1:17" s="5" customFormat="1" ht="10.199999999999999" customHeight="1" x14ac:dyDescent="0.2">
      <c r="A146" s="3">
        <v>76670581</v>
      </c>
      <c r="B146" s="3" t="s">
        <v>259</v>
      </c>
      <c r="C146" s="3" t="s">
        <v>42</v>
      </c>
      <c r="D146" s="3" t="s">
        <v>16</v>
      </c>
      <c r="E146" s="3" t="s">
        <v>17</v>
      </c>
      <c r="F146" s="3">
        <v>20608157051</v>
      </c>
      <c r="G146" s="3" t="s">
        <v>313</v>
      </c>
      <c r="H146" s="3">
        <v>20608157051</v>
      </c>
      <c r="I146" s="4">
        <v>46051</v>
      </c>
      <c r="J146" s="7">
        <f t="shared" si="2"/>
        <v>56.016949152542374</v>
      </c>
      <c r="K146" s="7">
        <f t="shared" si="3"/>
        <v>10.083050847457628</v>
      </c>
      <c r="L146" s="8">
        <v>66.099999999999994</v>
      </c>
      <c r="M146" s="3" t="s">
        <v>19</v>
      </c>
      <c r="N146" s="3" t="s">
        <v>142</v>
      </c>
      <c r="O146" s="3"/>
      <c r="P146" s="3" t="s">
        <v>457</v>
      </c>
      <c r="Q146" s="3" t="s">
        <v>490</v>
      </c>
    </row>
    <row r="147" spans="1:17" s="5" customFormat="1" ht="10.199999999999999" customHeight="1" x14ac:dyDescent="0.2">
      <c r="A147" s="3">
        <v>76670507</v>
      </c>
      <c r="B147" s="3" t="s">
        <v>259</v>
      </c>
      <c r="C147" s="3" t="s">
        <v>42</v>
      </c>
      <c r="D147" s="3" t="s">
        <v>16</v>
      </c>
      <c r="E147" s="3" t="s">
        <v>17</v>
      </c>
      <c r="F147" s="3">
        <v>20607861570</v>
      </c>
      <c r="G147" s="3" t="s">
        <v>314</v>
      </c>
      <c r="H147" s="3">
        <v>20607861570</v>
      </c>
      <c r="I147" s="4">
        <v>46051</v>
      </c>
      <c r="J147" s="7">
        <f t="shared" si="2"/>
        <v>56.016949152542374</v>
      </c>
      <c r="K147" s="7">
        <f t="shared" si="3"/>
        <v>10.083050847457628</v>
      </c>
      <c r="L147" s="8">
        <v>66.099999999999994</v>
      </c>
      <c r="M147" s="3" t="s">
        <v>19</v>
      </c>
      <c r="N147" s="3" t="s">
        <v>142</v>
      </c>
      <c r="O147" s="3"/>
      <c r="P147" s="3"/>
      <c r="Q147" s="3" t="s">
        <v>491</v>
      </c>
    </row>
    <row r="148" spans="1:17" s="5" customFormat="1" ht="10.199999999999999" customHeight="1" x14ac:dyDescent="0.2">
      <c r="A148" s="3">
        <v>76671146</v>
      </c>
      <c r="B148" s="3" t="s">
        <v>258</v>
      </c>
      <c r="C148" s="3" t="s">
        <v>42</v>
      </c>
      <c r="D148" s="3" t="s">
        <v>16</v>
      </c>
      <c r="E148" s="3" t="s">
        <v>17</v>
      </c>
      <c r="F148" s="3">
        <v>20610270272</v>
      </c>
      <c r="G148" s="3" t="s">
        <v>315</v>
      </c>
      <c r="H148" s="3">
        <v>20610270272</v>
      </c>
      <c r="I148" s="4">
        <v>46050</v>
      </c>
      <c r="J148" s="7">
        <f t="shared" si="2"/>
        <v>59.322033898305087</v>
      </c>
      <c r="K148" s="7">
        <f t="shared" si="3"/>
        <v>10.677966101694915</v>
      </c>
      <c r="L148" s="8">
        <v>70</v>
      </c>
      <c r="M148" s="3" t="s">
        <v>19</v>
      </c>
      <c r="N148" s="3">
        <v>202511</v>
      </c>
      <c r="O148" s="3"/>
      <c r="P148" s="3" t="s">
        <v>458</v>
      </c>
      <c r="Q148" s="3" t="s">
        <v>492</v>
      </c>
    </row>
    <row r="149" spans="1:17" s="5" customFormat="1" ht="10.199999999999999" customHeight="1" x14ac:dyDescent="0.2">
      <c r="A149" s="3">
        <v>76680520</v>
      </c>
      <c r="B149" s="3" t="s">
        <v>15</v>
      </c>
      <c r="C149" s="3" t="s">
        <v>42</v>
      </c>
      <c r="D149" s="3" t="s">
        <v>26</v>
      </c>
      <c r="E149" s="3" t="s">
        <v>27</v>
      </c>
      <c r="F149" s="3">
        <v>20558063069</v>
      </c>
      <c r="G149" s="3" t="s">
        <v>316</v>
      </c>
      <c r="H149" s="3">
        <v>20558063069</v>
      </c>
      <c r="I149" s="4">
        <v>46051</v>
      </c>
      <c r="J149" s="7">
        <f t="shared" si="2"/>
        <v>56.779661016949156</v>
      </c>
      <c r="K149" s="7">
        <f t="shared" si="3"/>
        <v>10.220338983050848</v>
      </c>
      <c r="L149" s="8">
        <v>67</v>
      </c>
      <c r="M149" s="3" t="s">
        <v>19</v>
      </c>
      <c r="N149" s="3">
        <v>202506</v>
      </c>
      <c r="O149" s="3"/>
      <c r="P149" s="3" t="s">
        <v>459</v>
      </c>
      <c r="Q149" s="3" t="s">
        <v>493</v>
      </c>
    </row>
    <row r="150" spans="1:17" s="5" customFormat="1" ht="10.199999999999999" customHeight="1" x14ac:dyDescent="0.2">
      <c r="A150" s="3">
        <v>76671945</v>
      </c>
      <c r="B150" s="3" t="s">
        <v>15</v>
      </c>
      <c r="C150" s="3" t="s">
        <v>42</v>
      </c>
      <c r="D150" s="3" t="s">
        <v>16</v>
      </c>
      <c r="E150" s="3" t="s">
        <v>17</v>
      </c>
      <c r="F150" s="3">
        <v>20613443097</v>
      </c>
      <c r="G150" s="3" t="s">
        <v>317</v>
      </c>
      <c r="H150" s="3">
        <v>20613443097</v>
      </c>
      <c r="I150" s="4">
        <v>46051</v>
      </c>
      <c r="J150" s="7">
        <f t="shared" si="2"/>
        <v>84.745762711864415</v>
      </c>
      <c r="K150" s="7">
        <f t="shared" si="3"/>
        <v>15.254237288135593</v>
      </c>
      <c r="L150" s="8">
        <v>100</v>
      </c>
      <c r="M150" s="3" t="s">
        <v>19</v>
      </c>
      <c r="N150" s="3">
        <v>202511</v>
      </c>
      <c r="O150" s="3"/>
      <c r="P150" s="3" t="s">
        <v>460</v>
      </c>
      <c r="Q150" s="3" t="s">
        <v>494</v>
      </c>
    </row>
    <row r="151" spans="1:17" s="5" customFormat="1" ht="10.199999999999999" customHeight="1" x14ac:dyDescent="0.2">
      <c r="A151" s="3">
        <v>76670928</v>
      </c>
      <c r="B151" s="3" t="s">
        <v>15</v>
      </c>
      <c r="C151" s="3" t="s">
        <v>42</v>
      </c>
      <c r="D151" s="3" t="s">
        <v>16</v>
      </c>
      <c r="E151" s="3" t="s">
        <v>17</v>
      </c>
      <c r="F151" s="3">
        <v>20609525861</v>
      </c>
      <c r="G151" s="3" t="s">
        <v>318</v>
      </c>
      <c r="H151" s="3">
        <v>20609525861</v>
      </c>
      <c r="I151" s="4">
        <v>46051</v>
      </c>
      <c r="J151" s="7">
        <f t="shared" si="2"/>
        <v>56.016949152542374</v>
      </c>
      <c r="K151" s="7">
        <f t="shared" si="3"/>
        <v>10.083050847457628</v>
      </c>
      <c r="L151" s="8">
        <v>66.099999999999994</v>
      </c>
      <c r="M151" s="3" t="s">
        <v>19</v>
      </c>
      <c r="N151" s="3">
        <v>202511</v>
      </c>
      <c r="O151" s="3"/>
      <c r="P151" s="3" t="s">
        <v>461</v>
      </c>
      <c r="Q151" s="3" t="s">
        <v>495</v>
      </c>
    </row>
    <row r="152" spans="1:17" s="5" customFormat="1" ht="10.199999999999999" customHeight="1" x14ac:dyDescent="0.2">
      <c r="A152" s="3">
        <v>76667876</v>
      </c>
      <c r="B152" s="3" t="s">
        <v>24</v>
      </c>
      <c r="C152" s="3" t="s">
        <v>42</v>
      </c>
      <c r="D152" s="3" t="s">
        <v>16</v>
      </c>
      <c r="E152" s="3" t="s">
        <v>17</v>
      </c>
      <c r="F152" s="3">
        <v>20537582741</v>
      </c>
      <c r="G152" s="3" t="s">
        <v>319</v>
      </c>
      <c r="H152" s="3">
        <v>20537582741</v>
      </c>
      <c r="I152" s="4">
        <v>46051</v>
      </c>
      <c r="J152" s="7">
        <f t="shared" si="2"/>
        <v>67.79661016949153</v>
      </c>
      <c r="K152" s="7">
        <f t="shared" si="3"/>
        <v>12.203389830508474</v>
      </c>
      <c r="L152" s="8">
        <v>80</v>
      </c>
      <c r="M152" s="3" t="s">
        <v>19</v>
      </c>
      <c r="N152" s="3">
        <v>202511</v>
      </c>
      <c r="O152" s="3"/>
      <c r="P152" s="3" t="s">
        <v>462</v>
      </c>
      <c r="Q152" s="3" t="s">
        <v>496</v>
      </c>
    </row>
    <row r="153" spans="1:17" s="5" customFormat="1" ht="10.199999999999999" customHeight="1" x14ac:dyDescent="0.2">
      <c r="A153" s="3">
        <v>76679970</v>
      </c>
      <c r="B153" s="3" t="s">
        <v>15</v>
      </c>
      <c r="C153" s="3" t="s">
        <v>42</v>
      </c>
      <c r="D153" s="3" t="s">
        <v>26</v>
      </c>
      <c r="E153" s="3" t="s">
        <v>27</v>
      </c>
      <c r="F153" s="3">
        <v>20479758167</v>
      </c>
      <c r="G153" s="3" t="s">
        <v>479</v>
      </c>
      <c r="H153" s="3">
        <v>20479758167</v>
      </c>
      <c r="I153" s="4">
        <v>46049</v>
      </c>
      <c r="J153" s="7">
        <f t="shared" si="2"/>
        <v>56.016949152542374</v>
      </c>
      <c r="K153" s="7">
        <f t="shared" si="3"/>
        <v>10.083050847457628</v>
      </c>
      <c r="L153" s="8">
        <v>66.099999999999994</v>
      </c>
      <c r="M153" s="3" t="s">
        <v>33</v>
      </c>
      <c r="N153" s="3"/>
      <c r="O153" s="3">
        <v>201001</v>
      </c>
      <c r="P153" s="3" t="s">
        <v>497</v>
      </c>
      <c r="Q153" s="3" t="s">
        <v>498</v>
      </c>
    </row>
    <row r="154" spans="1:17" s="5" customFormat="1" ht="10.199999999999999" customHeight="1" x14ac:dyDescent="0.2">
      <c r="A154" s="3">
        <v>76669052</v>
      </c>
      <c r="B154" s="3" t="s">
        <v>15</v>
      </c>
      <c r="C154" s="3" t="s">
        <v>42</v>
      </c>
      <c r="D154" s="3" t="s">
        <v>16</v>
      </c>
      <c r="E154" s="3" t="s">
        <v>17</v>
      </c>
      <c r="F154" s="3">
        <v>20601715687</v>
      </c>
      <c r="G154" s="3" t="s">
        <v>320</v>
      </c>
      <c r="H154" s="3">
        <v>20601715687</v>
      </c>
      <c r="I154" s="4">
        <v>46051</v>
      </c>
      <c r="J154" s="7">
        <f t="shared" si="2"/>
        <v>56.016949152542374</v>
      </c>
      <c r="K154" s="7">
        <f t="shared" si="3"/>
        <v>10.083050847457628</v>
      </c>
      <c r="L154" s="8">
        <v>66.099999999999994</v>
      </c>
      <c r="M154" s="3" t="s">
        <v>19</v>
      </c>
      <c r="N154" s="3">
        <v>202511</v>
      </c>
      <c r="O154" s="3"/>
      <c r="P154" s="3" t="s">
        <v>463</v>
      </c>
      <c r="Q154" s="3" t="s">
        <v>499</v>
      </c>
    </row>
    <row r="155" spans="1:17" s="5" customFormat="1" ht="10.199999999999999" customHeight="1" x14ac:dyDescent="0.2">
      <c r="A155" s="3">
        <v>76680152</v>
      </c>
      <c r="B155" s="3" t="s">
        <v>15</v>
      </c>
      <c r="C155" s="3" t="s">
        <v>42</v>
      </c>
      <c r="D155" s="3" t="s">
        <v>26</v>
      </c>
      <c r="E155" s="3" t="s">
        <v>27</v>
      </c>
      <c r="F155" s="3">
        <v>20505888741</v>
      </c>
      <c r="G155" s="3" t="s">
        <v>321</v>
      </c>
      <c r="H155" s="3">
        <v>20505888741</v>
      </c>
      <c r="I155" s="4">
        <v>46051</v>
      </c>
      <c r="J155" s="7">
        <f t="shared" si="2"/>
        <v>46.610169491525426</v>
      </c>
      <c r="K155" s="7">
        <f t="shared" si="3"/>
        <v>8.3898305084745761</v>
      </c>
      <c r="L155" s="8">
        <v>55</v>
      </c>
      <c r="M155" s="3" t="s">
        <v>19</v>
      </c>
      <c r="N155" s="3">
        <v>200812</v>
      </c>
      <c r="O155" s="3"/>
      <c r="P155" s="3" t="s">
        <v>464</v>
      </c>
      <c r="Q155" s="3" t="s">
        <v>500</v>
      </c>
    </row>
    <row r="156" spans="1:17" s="5" customFormat="1" ht="10.199999999999999" customHeight="1" x14ac:dyDescent="0.2">
      <c r="A156" s="3">
        <v>76666541</v>
      </c>
      <c r="B156" s="3" t="s">
        <v>258</v>
      </c>
      <c r="C156" s="3" t="s">
        <v>42</v>
      </c>
      <c r="D156" s="3" t="s">
        <v>16</v>
      </c>
      <c r="E156" s="3" t="s">
        <v>17</v>
      </c>
      <c r="F156" s="3">
        <v>43971334</v>
      </c>
      <c r="G156" s="3" t="s">
        <v>322</v>
      </c>
      <c r="H156" s="3">
        <v>10439713343</v>
      </c>
      <c r="I156" s="4">
        <v>46051</v>
      </c>
      <c r="J156" s="7">
        <f t="shared" si="2"/>
        <v>138.61864406779662</v>
      </c>
      <c r="K156" s="7">
        <f t="shared" si="3"/>
        <v>24.951355932203391</v>
      </c>
      <c r="L156" s="8">
        <v>163.57</v>
      </c>
      <c r="M156" s="3" t="s">
        <v>19</v>
      </c>
      <c r="N156" s="3" t="s">
        <v>465</v>
      </c>
      <c r="O156" s="3"/>
      <c r="P156" s="3" t="s">
        <v>466</v>
      </c>
      <c r="Q156" s="3" t="s">
        <v>501</v>
      </c>
    </row>
    <row r="157" spans="1:17" s="5" customFormat="1" ht="10.199999999999999" customHeight="1" x14ac:dyDescent="0.2">
      <c r="A157" s="3">
        <v>76671567</v>
      </c>
      <c r="B157" s="3" t="s">
        <v>259</v>
      </c>
      <c r="C157" s="3" t="s">
        <v>42</v>
      </c>
      <c r="D157" s="3" t="s">
        <v>16</v>
      </c>
      <c r="E157" s="3" t="s">
        <v>17</v>
      </c>
      <c r="F157" s="3">
        <v>20611952458</v>
      </c>
      <c r="G157" s="3" t="s">
        <v>323</v>
      </c>
      <c r="H157" s="3">
        <v>20611952458</v>
      </c>
      <c r="I157" s="4">
        <v>46051</v>
      </c>
      <c r="J157" s="7">
        <f t="shared" si="2"/>
        <v>56.016949152542374</v>
      </c>
      <c r="K157" s="7">
        <f t="shared" si="3"/>
        <v>10.083050847457628</v>
      </c>
      <c r="L157" s="8">
        <v>66.099999999999994</v>
      </c>
      <c r="M157" s="3" t="s">
        <v>19</v>
      </c>
      <c r="N157" s="3" t="s">
        <v>142</v>
      </c>
      <c r="O157" s="3"/>
      <c r="P157" s="3" t="s">
        <v>467</v>
      </c>
      <c r="Q157" s="3" t="s">
        <v>502</v>
      </c>
    </row>
    <row r="158" spans="1:17" s="5" customFormat="1" ht="10.199999999999999" customHeight="1" x14ac:dyDescent="0.2">
      <c r="A158" s="3">
        <v>76670379</v>
      </c>
      <c r="B158" s="3" t="s">
        <v>258</v>
      </c>
      <c r="C158" s="3" t="s">
        <v>42</v>
      </c>
      <c r="D158" s="3" t="s">
        <v>16</v>
      </c>
      <c r="E158" s="3" t="s">
        <v>17</v>
      </c>
      <c r="F158" s="3">
        <v>20607117382</v>
      </c>
      <c r="G158" s="3" t="s">
        <v>324</v>
      </c>
      <c r="H158" s="3">
        <v>20607117382</v>
      </c>
      <c r="I158" s="4">
        <v>46051</v>
      </c>
      <c r="J158" s="7">
        <f t="shared" si="2"/>
        <v>50.847457627118644</v>
      </c>
      <c r="K158" s="7">
        <f t="shared" si="3"/>
        <v>9.1525423728813546</v>
      </c>
      <c r="L158" s="8">
        <v>60</v>
      </c>
      <c r="M158" s="3" t="s">
        <v>19</v>
      </c>
      <c r="N158" s="3">
        <v>202511</v>
      </c>
      <c r="O158" s="3"/>
      <c r="P158" s="3" t="s">
        <v>468</v>
      </c>
      <c r="Q158" s="3" t="s">
        <v>503</v>
      </c>
    </row>
    <row r="159" spans="1:17" s="5" customFormat="1" ht="10.199999999999999" customHeight="1" x14ac:dyDescent="0.2">
      <c r="A159" s="3">
        <v>76667531</v>
      </c>
      <c r="B159" s="3" t="s">
        <v>15</v>
      </c>
      <c r="C159" s="3" t="s">
        <v>42</v>
      </c>
      <c r="D159" s="3" t="s">
        <v>16</v>
      </c>
      <c r="E159" s="3" t="s">
        <v>17</v>
      </c>
      <c r="F159" s="3">
        <v>20516059428</v>
      </c>
      <c r="G159" s="3" t="s">
        <v>325</v>
      </c>
      <c r="H159" s="3">
        <v>20516059428</v>
      </c>
      <c r="I159" s="4">
        <v>46051</v>
      </c>
      <c r="J159" s="7">
        <f t="shared" si="2"/>
        <v>88.567796610169495</v>
      </c>
      <c r="K159" s="7">
        <f t="shared" si="3"/>
        <v>15.942203389830508</v>
      </c>
      <c r="L159" s="8">
        <v>104.51</v>
      </c>
      <c r="M159" s="3" t="s">
        <v>19</v>
      </c>
      <c r="N159" s="3">
        <v>202510</v>
      </c>
      <c r="O159" s="3"/>
      <c r="P159" s="3" t="s">
        <v>469</v>
      </c>
      <c r="Q159" s="3" t="s">
        <v>504</v>
      </c>
    </row>
    <row r="160" spans="1:17" s="5" customFormat="1" ht="10.199999999999999" customHeight="1" x14ac:dyDescent="0.2">
      <c r="A160" s="3">
        <v>76667910</v>
      </c>
      <c r="B160" s="3" t="s">
        <v>259</v>
      </c>
      <c r="C160" s="3" t="s">
        <v>42</v>
      </c>
      <c r="D160" s="3" t="s">
        <v>16</v>
      </c>
      <c r="E160" s="3" t="s">
        <v>17</v>
      </c>
      <c r="F160" s="3">
        <v>20539073771</v>
      </c>
      <c r="G160" s="3" t="s">
        <v>326</v>
      </c>
      <c r="H160" s="3">
        <v>20539073771</v>
      </c>
      <c r="I160" s="4">
        <v>46051</v>
      </c>
      <c r="J160" s="7">
        <f t="shared" si="2"/>
        <v>56.016949152542374</v>
      </c>
      <c r="K160" s="7">
        <f t="shared" si="3"/>
        <v>10.083050847457628</v>
      </c>
      <c r="L160" s="8">
        <v>66.099999999999994</v>
      </c>
      <c r="M160" s="3" t="s">
        <v>19</v>
      </c>
      <c r="N160" s="3">
        <v>202511</v>
      </c>
      <c r="O160" s="3"/>
      <c r="P160" s="3" t="s">
        <v>470</v>
      </c>
      <c r="Q160" s="3" t="s">
        <v>505</v>
      </c>
    </row>
    <row r="161" spans="1:17" s="5" customFormat="1" ht="10.199999999999999" customHeight="1" x14ac:dyDescent="0.2">
      <c r="A161" s="3">
        <v>76667432</v>
      </c>
      <c r="B161" s="3" t="s">
        <v>258</v>
      </c>
      <c r="C161" s="3" t="s">
        <v>42</v>
      </c>
      <c r="D161" s="3" t="s">
        <v>16</v>
      </c>
      <c r="E161" s="3" t="s">
        <v>17</v>
      </c>
      <c r="F161" s="3">
        <v>20510497482</v>
      </c>
      <c r="G161" s="3" t="s">
        <v>327</v>
      </c>
      <c r="H161" s="3">
        <v>20510497482</v>
      </c>
      <c r="I161" s="4">
        <v>46051</v>
      </c>
      <c r="J161" s="7">
        <f t="shared" si="2"/>
        <v>56.016949152542374</v>
      </c>
      <c r="K161" s="7">
        <f t="shared" si="3"/>
        <v>10.083050847457628</v>
      </c>
      <c r="L161" s="8">
        <v>66.099999999999994</v>
      </c>
      <c r="M161" s="3" t="s">
        <v>18</v>
      </c>
      <c r="N161" s="3">
        <v>202511</v>
      </c>
      <c r="O161" s="3">
        <v>201309</v>
      </c>
      <c r="P161" s="3" t="s">
        <v>471</v>
      </c>
      <c r="Q161" s="3" t="s">
        <v>506</v>
      </c>
    </row>
    <row r="162" spans="1:17" s="5" customFormat="1" ht="10.199999999999999" customHeight="1" x14ac:dyDescent="0.2">
      <c r="A162" s="3">
        <v>76675592</v>
      </c>
      <c r="B162" s="3" t="s">
        <v>258</v>
      </c>
      <c r="C162" s="3" t="s">
        <v>42</v>
      </c>
      <c r="D162" s="3" t="s">
        <v>20</v>
      </c>
      <c r="E162" s="3" t="s">
        <v>21</v>
      </c>
      <c r="F162" s="3">
        <v>20440444394</v>
      </c>
      <c r="G162" s="3" t="s">
        <v>328</v>
      </c>
      <c r="H162" s="3">
        <v>20440444394</v>
      </c>
      <c r="I162" s="4">
        <v>46052</v>
      </c>
      <c r="J162" s="7">
        <f t="shared" si="2"/>
        <v>338.05932203389835</v>
      </c>
      <c r="K162" s="7">
        <f t="shared" si="3"/>
        <v>60.850677966101699</v>
      </c>
      <c r="L162" s="8">
        <v>398.91</v>
      </c>
      <c r="M162" s="3" t="s">
        <v>33</v>
      </c>
      <c r="N162" s="3"/>
      <c r="O162" s="3"/>
      <c r="P162" s="3" t="s">
        <v>507</v>
      </c>
      <c r="Q162" s="3" t="s">
        <v>508</v>
      </c>
    </row>
    <row r="163" spans="1:17" s="5" customFormat="1" ht="10.199999999999999" customHeight="1" x14ac:dyDescent="0.2">
      <c r="A163" s="3">
        <v>76672178</v>
      </c>
      <c r="B163" s="3" t="s">
        <v>259</v>
      </c>
      <c r="C163" s="3" t="s">
        <v>42</v>
      </c>
      <c r="D163" s="3" t="s">
        <v>16</v>
      </c>
      <c r="E163" s="3" t="s">
        <v>17</v>
      </c>
      <c r="F163" s="3">
        <v>20614607298</v>
      </c>
      <c r="G163" s="3" t="s">
        <v>329</v>
      </c>
      <c r="H163" s="3">
        <v>20614607298</v>
      </c>
      <c r="I163" s="4">
        <v>46052</v>
      </c>
      <c r="J163" s="7">
        <f t="shared" si="2"/>
        <v>56.016949152542374</v>
      </c>
      <c r="K163" s="7">
        <f t="shared" si="3"/>
        <v>10.083050847457628</v>
      </c>
      <c r="L163" s="8">
        <v>66.099999999999994</v>
      </c>
      <c r="M163" s="3" t="s">
        <v>19</v>
      </c>
      <c r="N163" s="3" t="s">
        <v>142</v>
      </c>
      <c r="O163" s="3"/>
      <c r="P163" s="3"/>
      <c r="Q163" s="3"/>
    </row>
    <row r="164" spans="1:17" s="5" customFormat="1" ht="10.199999999999999" customHeight="1" x14ac:dyDescent="0.2">
      <c r="A164" s="3">
        <v>76669637</v>
      </c>
      <c r="B164" s="3" t="s">
        <v>15</v>
      </c>
      <c r="C164" s="3" t="s">
        <v>42</v>
      </c>
      <c r="D164" s="3" t="s">
        <v>16</v>
      </c>
      <c r="E164" s="3" t="s">
        <v>17</v>
      </c>
      <c r="F164" s="3">
        <v>20603792107</v>
      </c>
      <c r="G164" s="3" t="s">
        <v>330</v>
      </c>
      <c r="H164" s="3">
        <v>20603792107</v>
      </c>
      <c r="I164" s="4">
        <v>46052</v>
      </c>
      <c r="J164" s="7">
        <f t="shared" si="2"/>
        <v>381.35593220338984</v>
      </c>
      <c r="K164" s="7">
        <f t="shared" si="3"/>
        <v>68.644067796610173</v>
      </c>
      <c r="L164" s="8">
        <v>450</v>
      </c>
      <c r="M164" s="3" t="s">
        <v>19</v>
      </c>
      <c r="N164" s="3" t="s">
        <v>472</v>
      </c>
      <c r="O164" s="3"/>
      <c r="P164" s="3" t="s">
        <v>473</v>
      </c>
      <c r="Q164" s="3" t="s">
        <v>509</v>
      </c>
    </row>
    <row r="165" spans="1:17" s="5" customFormat="1" ht="10.199999999999999" customHeight="1" x14ac:dyDescent="0.2">
      <c r="A165" s="3">
        <v>76666702</v>
      </c>
      <c r="B165" s="3" t="s">
        <v>258</v>
      </c>
      <c r="C165" s="3" t="s">
        <v>42</v>
      </c>
      <c r="D165" s="3" t="s">
        <v>16</v>
      </c>
      <c r="E165" s="3" t="s">
        <v>17</v>
      </c>
      <c r="F165" s="3">
        <v>20103320951</v>
      </c>
      <c r="G165" s="3" t="s">
        <v>331</v>
      </c>
      <c r="H165" s="3">
        <v>20103320951</v>
      </c>
      <c r="I165" s="4">
        <v>46052</v>
      </c>
      <c r="J165" s="7">
        <f t="shared" si="2"/>
        <v>56.016949152542374</v>
      </c>
      <c r="K165" s="7">
        <f t="shared" si="3"/>
        <v>10.083050847457628</v>
      </c>
      <c r="L165" s="8">
        <v>66.099999999999994</v>
      </c>
      <c r="M165" s="3" t="s">
        <v>19</v>
      </c>
      <c r="N165" s="3">
        <v>202511</v>
      </c>
      <c r="O165" s="3"/>
      <c r="P165" s="3" t="s">
        <v>474</v>
      </c>
      <c r="Q165" s="3" t="s">
        <v>510</v>
      </c>
    </row>
    <row r="166" spans="1:17" s="5" customFormat="1" ht="10.199999999999999" customHeight="1" x14ac:dyDescent="0.2">
      <c r="A166" s="3">
        <v>76668359</v>
      </c>
      <c r="B166" s="3" t="s">
        <v>259</v>
      </c>
      <c r="C166" s="3" t="s">
        <v>42</v>
      </c>
      <c r="D166" s="3" t="s">
        <v>16</v>
      </c>
      <c r="E166" s="3" t="s">
        <v>17</v>
      </c>
      <c r="F166" s="3">
        <v>20558712644</v>
      </c>
      <c r="G166" s="3" t="s">
        <v>332</v>
      </c>
      <c r="H166" s="3">
        <v>20558712644</v>
      </c>
      <c r="I166" s="4">
        <v>46052</v>
      </c>
      <c r="J166" s="7">
        <f t="shared" ref="J166:J173" si="4">+L166/1.18</f>
        <v>56.016949152542374</v>
      </c>
      <c r="K166" s="7">
        <f t="shared" ref="K166:K173" si="5">J166*0.18</f>
        <v>10.083050847457628</v>
      </c>
      <c r="L166" s="8">
        <v>66.099999999999994</v>
      </c>
      <c r="M166" s="3" t="s">
        <v>19</v>
      </c>
      <c r="N166" s="3">
        <v>202511</v>
      </c>
      <c r="O166" s="3"/>
      <c r="P166" s="3" t="s">
        <v>475</v>
      </c>
      <c r="Q166" s="3" t="s">
        <v>511</v>
      </c>
    </row>
    <row r="167" spans="1:17" s="5" customFormat="1" ht="10.199999999999999" customHeight="1" x14ac:dyDescent="0.2">
      <c r="A167" s="3">
        <v>76668383</v>
      </c>
      <c r="B167" s="3" t="s">
        <v>15</v>
      </c>
      <c r="C167" s="3" t="s">
        <v>42</v>
      </c>
      <c r="D167" s="3" t="s">
        <v>16</v>
      </c>
      <c r="E167" s="3" t="s">
        <v>17</v>
      </c>
      <c r="F167" s="3">
        <v>20559906116</v>
      </c>
      <c r="G167" s="3" t="s">
        <v>333</v>
      </c>
      <c r="H167" s="3">
        <v>20559906116</v>
      </c>
      <c r="I167" s="4">
        <v>46052</v>
      </c>
      <c r="J167" s="7">
        <f t="shared" si="4"/>
        <v>94.915254237288138</v>
      </c>
      <c r="K167" s="7">
        <f t="shared" si="5"/>
        <v>17.084745762711865</v>
      </c>
      <c r="L167" s="8">
        <v>112</v>
      </c>
      <c r="M167" s="3" t="s">
        <v>19</v>
      </c>
      <c r="N167" s="3">
        <v>202511</v>
      </c>
      <c r="O167" s="3"/>
      <c r="P167" s="3" t="s">
        <v>476</v>
      </c>
      <c r="Q167" s="3"/>
    </row>
    <row r="168" spans="1:17" s="5" customFormat="1" ht="10.199999999999999" customHeight="1" x14ac:dyDescent="0.2">
      <c r="A168" s="3">
        <v>76672099</v>
      </c>
      <c r="B168" s="3" t="s">
        <v>15</v>
      </c>
      <c r="C168" s="3" t="s">
        <v>42</v>
      </c>
      <c r="D168" s="3" t="s">
        <v>16</v>
      </c>
      <c r="E168" s="3" t="s">
        <v>17</v>
      </c>
      <c r="F168" s="3">
        <v>20614200287</v>
      </c>
      <c r="G168" s="3" t="s">
        <v>334</v>
      </c>
      <c r="H168" s="3">
        <v>20614200287</v>
      </c>
      <c r="I168" s="4">
        <v>46052</v>
      </c>
      <c r="J168" s="7">
        <f t="shared" si="4"/>
        <v>56.016949152542374</v>
      </c>
      <c r="K168" s="7">
        <f t="shared" si="5"/>
        <v>10.083050847457628</v>
      </c>
      <c r="L168" s="8">
        <v>66.099999999999994</v>
      </c>
      <c r="M168" s="3" t="s">
        <v>19</v>
      </c>
      <c r="N168" s="3">
        <v>202511</v>
      </c>
      <c r="O168" s="3"/>
      <c r="P168" s="3" t="s">
        <v>477</v>
      </c>
      <c r="Q168" s="3"/>
    </row>
    <row r="169" spans="1:17" s="5" customFormat="1" ht="10.199999999999999" customHeight="1" x14ac:dyDescent="0.2">
      <c r="A169" s="3">
        <v>76669956</v>
      </c>
      <c r="B169" s="3" t="s">
        <v>258</v>
      </c>
      <c r="C169" s="3" t="s">
        <v>42</v>
      </c>
      <c r="D169" s="3" t="s">
        <v>16</v>
      </c>
      <c r="E169" s="3" t="s">
        <v>17</v>
      </c>
      <c r="F169" s="3">
        <v>20605337296</v>
      </c>
      <c r="G169" s="3" t="s">
        <v>480</v>
      </c>
      <c r="H169" s="3">
        <v>20605337296</v>
      </c>
      <c r="I169" s="4">
        <v>46049</v>
      </c>
      <c r="J169" s="7">
        <f t="shared" si="4"/>
        <v>113.63559322033899</v>
      </c>
      <c r="K169" s="7">
        <f t="shared" si="5"/>
        <v>20.454406779661017</v>
      </c>
      <c r="L169" s="8">
        <v>134.09</v>
      </c>
      <c r="M169" s="3" t="s">
        <v>19</v>
      </c>
      <c r="N169" s="3">
        <v>202511</v>
      </c>
      <c r="O169" s="3"/>
      <c r="P169" s="3" t="s">
        <v>512</v>
      </c>
      <c r="Q169" s="3"/>
    </row>
    <row r="170" spans="1:17" s="5" customFormat="1" ht="10.199999999999999" customHeight="1" x14ac:dyDescent="0.2">
      <c r="A170" s="3">
        <v>76666651</v>
      </c>
      <c r="B170" s="3" t="s">
        <v>15</v>
      </c>
      <c r="C170" s="3" t="s">
        <v>42</v>
      </c>
      <c r="D170" s="3" t="s">
        <v>16</v>
      </c>
      <c r="E170" s="3" t="s">
        <v>17</v>
      </c>
      <c r="F170" s="3">
        <v>73216094</v>
      </c>
      <c r="G170" s="3" t="s">
        <v>481</v>
      </c>
      <c r="H170" s="3">
        <v>10732160944</v>
      </c>
      <c r="I170" s="4">
        <v>46045</v>
      </c>
      <c r="J170" s="7">
        <f t="shared" si="4"/>
        <v>56.016949152542374</v>
      </c>
      <c r="K170" s="7">
        <f t="shared" si="5"/>
        <v>10.083050847457628</v>
      </c>
      <c r="L170" s="8">
        <v>66.099999999999994</v>
      </c>
      <c r="M170" s="3" t="s">
        <v>19</v>
      </c>
      <c r="N170" s="3">
        <v>202511</v>
      </c>
      <c r="O170" s="3"/>
      <c r="P170" s="3" t="s">
        <v>513</v>
      </c>
      <c r="Q170" s="3"/>
    </row>
    <row r="171" spans="1:17" s="5" customFormat="1" ht="10.199999999999999" customHeight="1" x14ac:dyDescent="0.2">
      <c r="A171" s="3">
        <v>76667219</v>
      </c>
      <c r="B171" s="3" t="s">
        <v>15</v>
      </c>
      <c r="C171" s="3" t="s">
        <v>42</v>
      </c>
      <c r="D171" s="3" t="s">
        <v>16</v>
      </c>
      <c r="E171" s="3" t="s">
        <v>17</v>
      </c>
      <c r="F171" s="3">
        <v>20490456547</v>
      </c>
      <c r="G171" s="3" t="s">
        <v>482</v>
      </c>
      <c r="H171" s="3">
        <v>20490456547</v>
      </c>
      <c r="I171" s="4">
        <v>46036</v>
      </c>
      <c r="J171" s="7">
        <f t="shared" si="4"/>
        <v>88.483050847457633</v>
      </c>
      <c r="K171" s="7">
        <f t="shared" si="5"/>
        <v>15.926949152542374</v>
      </c>
      <c r="L171" s="8">
        <v>104.41</v>
      </c>
      <c r="M171" s="3" t="s">
        <v>19</v>
      </c>
      <c r="N171" s="3">
        <v>202511</v>
      </c>
      <c r="O171" s="3"/>
      <c r="P171" s="3" t="s">
        <v>514</v>
      </c>
      <c r="Q171" s="3"/>
    </row>
    <row r="172" spans="1:17" s="5" customFormat="1" ht="10.199999999999999" customHeight="1" x14ac:dyDescent="0.2">
      <c r="A172" s="3"/>
      <c r="B172" s="3"/>
      <c r="C172" s="3"/>
      <c r="D172" s="3"/>
      <c r="E172" s="3"/>
      <c r="F172" s="3"/>
      <c r="G172" s="3"/>
      <c r="H172" s="3"/>
      <c r="I172" s="4"/>
      <c r="J172" s="7">
        <f t="shared" si="4"/>
        <v>0</v>
      </c>
      <c r="K172" s="7">
        <f t="shared" si="5"/>
        <v>0</v>
      </c>
      <c r="L172" s="8"/>
      <c r="M172" s="3"/>
      <c r="N172" s="3"/>
      <c r="O172" s="3"/>
      <c r="P172" s="3"/>
      <c r="Q172" s="3"/>
    </row>
    <row r="173" spans="1:17" s="5" customFormat="1" ht="10.199999999999999" customHeight="1" x14ac:dyDescent="0.2">
      <c r="A173" s="3"/>
      <c r="B173" s="3"/>
      <c r="C173" s="3"/>
      <c r="D173" s="3"/>
      <c r="E173" s="3"/>
      <c r="F173" s="3"/>
      <c r="G173" s="3"/>
      <c r="H173" s="3"/>
      <c r="I173" s="4"/>
      <c r="J173" s="7">
        <f t="shared" si="4"/>
        <v>0</v>
      </c>
      <c r="K173" s="7">
        <f t="shared" si="5"/>
        <v>0</v>
      </c>
      <c r="L173" s="8"/>
      <c r="M173" s="3"/>
      <c r="N173" s="3"/>
      <c r="O173" s="3"/>
      <c r="P173" s="3"/>
      <c r="Q173" s="3"/>
    </row>
    <row r="174" spans="1:17" s="5" customFormat="1" ht="10.199999999999999" customHeight="1" x14ac:dyDescent="0.2">
      <c r="J174" s="11">
        <f>SUBTOTAL(9,J2:J173)</f>
        <v>16116.567796610187</v>
      </c>
      <c r="K174" s="11">
        <f>SUBTOTAL(9,K2:K173)</f>
        <v>2900.9822033898308</v>
      </c>
      <c r="L174" s="11">
        <f>SUM(L2:L173)</f>
        <v>19017.550000000007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 Mariscal Almeyda</cp:lastModifiedBy>
  <dcterms:created xsi:type="dcterms:W3CDTF">2025-12-11T14:54:08Z</dcterms:created>
  <dcterms:modified xsi:type="dcterms:W3CDTF">2026-02-04T17:37:16Z</dcterms:modified>
</cp:coreProperties>
</file>